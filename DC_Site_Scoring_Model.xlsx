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" sheetId="2" state="visible" r:id="rId4"/>
    <sheet name="Weights" sheetId="3" state="visible" r:id="rId5"/>
    <sheet name="Scoring" sheetId="4" state="visible" r:id="rId6"/>
    <sheet name="Sensitivity" sheetId="5" state="visible" r:id="rId7"/>
    <sheet name="Latency" sheetId="6" state="visible" r:id="rId8"/>
    <sheet name="MarketFacts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<sst xmlns="http://schemas.openxmlformats.org/spreadsheetml/2006/main" count="691" uniqueCount="443">
  <si>
    <t xml:space="preserve">Hyperscale data center siting model - six US candidate markets</t>
  </si>
  <si>
    <t xml:space="preserve">Portfolio project built from public sources as of 7 Oct 2026. Not employer data and not investment or legal advice. Change the scenario below; every table recalculates.</t>
  </si>
  <si>
    <t xml:space="preserve">Scenario (pick one)</t>
  </si>
  <si>
    <t xml:space="preserve">Base</t>
  </si>
  <si>
    <t xml:space="preserve">Results for selected scenario</t>
  </si>
  <si>
    <t xml:space="preserve">Market</t>
  </si>
  <si>
    <t xml:space="preserve">Weighted score</t>
  </si>
  <si>
    <t xml:space="preserve">Rank</t>
  </si>
  <si>
    <t xml:space="preserve">Seattle / Quincy, WA</t>
  </si>
  <si>
    <t xml:space="preserve">Hillsboro / Portland, OR</t>
  </si>
  <si>
    <t xml:space="preserve">Phoenix, AZ</t>
  </si>
  <si>
    <t xml:space="preserve">Northern Virginia</t>
  </si>
  <si>
    <t xml:space="preserve">Dallas-Fort Worth, TX</t>
  </si>
  <si>
    <t xml:space="preserve">Columbus, OH</t>
  </si>
  <si>
    <t xml:space="preserve">Ranked list</t>
  </si>
  <si>
    <t xml:space="preserve">Score</t>
  </si>
  <si>
    <t xml:space="preserve">Category scores by market (0-100, selected scenario weights not applied)</t>
  </si>
  <si>
    <t xml:space="preserve">Category</t>
  </si>
  <si>
    <t xml:space="preserve">Model transparency</t>
  </si>
  <si>
    <t xml:space="preserve">How to read this</t>
  </si>
  <si>
    <t xml:space="preserve">Score = weighted average of 18 variables normalized to 0-100 (100 = best of the six). Scores are relative to these six markets only, not absolute quality.</t>
  </si>
  <si>
    <t xml:space="preserve">Illustrative requirement: a first phase of roughly 50-100 MW IT load, delivered in 2028-2029, hyperscale/AI workloads, willing to lease or build.</t>
  </si>
  <si>
    <t xml:space="preserve">Sheets: Data (inputs, sources, confidence) &gt; Weights (scenarios) &gt; Scoring (normalization) &gt; Sensitivity (rank stability) &gt; Latency, MarketFacts, Sources.</t>
  </si>
  <si>
    <t xml:space="preserve">Blue cells are inputs you can change; yellow cells are scenario levers. Green text links to other sheets.</t>
  </si>
  <si>
    <t xml:space="preserve">Biggest limits: rubric scores are judgment; broker rents/vacancies differ by date and size tier; FEMA county scores not pulled directly. See Data notes and Sources gaps.</t>
  </si>
  <si>
    <t xml:space="preserve">Input data - 18 variables x 6 candidate markets</t>
  </si>
  <si>
    <t xml:space="preserve">Blue = hardcoded input from the cited source. Green = link to another sheet. Black = formula. 'Judgment share' = fraction of the row resting on analyst scores/estimates rather than sourced figures. Data as of 7 Oct 2026; sources on the Sources sheet.</t>
  </si>
  <si>
    <t xml:space="preserve">ID</t>
  </si>
  <si>
    <t xml:space="preserve">Variable</t>
  </si>
  <si>
    <t xml:space="preserve">Unit</t>
  </si>
  <si>
    <t xml:space="preserve">Type</t>
  </si>
  <si>
    <t xml:space="preserve">Better</t>
  </si>
  <si>
    <t xml:space="preserve">Transform</t>
  </si>
  <si>
    <t xml:space="preserve">Confidence</t>
  </si>
  <si>
    <t xml:space="preserve">Sources</t>
  </si>
  <si>
    <t xml:space="preserve">Notes / rationale</t>
  </si>
  <si>
    <t xml:space="preserve">Judgment share</t>
  </si>
  <si>
    <t xml:space="preserve">A1</t>
  </si>
  <si>
    <t xml:space="preserve">Power &amp; Grid</t>
  </si>
  <si>
    <t xml:space="preserve">Industrial electricity price (state average)</t>
  </si>
  <si>
    <t xml:space="preserve">cents/kWh</t>
  </si>
  <si>
    <t xml:space="preserve">numeric</t>
  </si>
  <si>
    <t xml:space="preserve">lower</t>
  </si>
  <si>
    <t xml:space="preserve">none</t>
  </si>
  <si>
    <t xml:space="preserve">Verified (state-level)</t>
  </si>
  <si>
    <t xml:space="preserve">S1</t>
  </si>
  <si>
    <t xml:space="preserve">EIA Electric Power Annual, 2024 data (WA, OR, AZ, VA, TX, OH). State averages: actual large-load tariffs differ (Grant PUD is far below WA avg; Oregon data-center class rose ~30% in 2026 under POWER Act, S23). EIA reports industrial prices up ~6% over the past year nationally.</t>
  </si>
  <si>
    <t xml:space="preserve">A2</t>
  </si>
  <si>
    <t xml:space="preserve">Time to power for a new large load</t>
  </si>
  <si>
    <t xml:space="preserve">months</t>
  </si>
  <si>
    <t xml:space="preserve">Reported + estimates</t>
  </si>
  <si>
    <t xml:space="preserve">S11, S12, S13, S15, S16, S20</t>
  </si>
  <si>
    <t xml:space="preserve">NoVA 84 (JLL: ~7 yrs for 100 MW); Columbus 84 and Phoenix 60 (industry blog, S12); DFW 36 (reports of 24-36+ months, ERCOT batch study began Sep 2026). Seattle/Quincy and Hillsboro = ANALYST ESTIMATE of 48 (national avg is ~4 yrs per JLL; Grant PUD multi-year allocation queue; no &gt;=5 MW free in Hillsboro).</t>
  </si>
  <si>
    <t xml:space="preserve">A3</t>
  </si>
  <si>
    <t xml:space="preserve">Large-load tariff / contract burden (5 = most burdensome)</t>
  </si>
  <si>
    <t xml:space="preserve">score 1-5</t>
  </si>
  <si>
    <t xml:space="preserve">rubric</t>
  </si>
  <si>
    <t xml:space="preserve">Analyst score</t>
  </si>
  <si>
    <t xml:space="preserve">S15-S18, S20, S22-S25</t>
  </si>
  <si>
    <t xml:space="preserve">Rubric: take-or-pay minimums, collateral/security, cost allocation, curtailment. Columbus 5 (85% min demand, 8-12 yr terms, 180-day notice); Hillsboro 5 (Schedule 96: 20 MW+ self-funds distribution, ~90% minimums, ~30% rate rise); Phoenix 4 (APS load commitment agreements, proposed DC rate increase); NoVA 4 (new DC rate class, batch queue); DFW 4 (SB6: financial security, fees, curtailment rights); Quincy 3 (Grant PUD load limits and a large-load tariff).</t>
  </si>
  <si>
    <t xml:space="preserve">A4</t>
  </si>
  <si>
    <t xml:space="preserve">Grid clean-power profile (5 = cleanest)</t>
  </si>
  <si>
    <t xml:space="preserve">higher</t>
  </si>
  <si>
    <t xml:space="preserve">S19, general knowledge</t>
  </si>
  <si>
    <t xml:space="preserve">Qualitative: hydro-dominated (Columbia basin) = 5; PNW mix = 4; solar/gas/nuclear AZ = 3; Dominion gas+nuclear = 3; ERCOT wind/solar/gas = 3; AEP Ohio/PJM coal+gas = 2. Replace with EIA state generation-mix data for a production version.</t>
  </si>
  <si>
    <t xml:space="preserve">B1</t>
  </si>
  <si>
    <t xml:space="preserve">Market &amp; Pricing</t>
  </si>
  <si>
    <t xml:space="preserve">Colocation vacancy rate</t>
  </si>
  <si>
    <t xml:space="preserve">%</t>
  </si>
  <si>
    <t xml:space="preserve">Reported (mixed vintages)</t>
  </si>
  <si>
    <t xml:space="preserve">S2, S4, S6, S7, S8, S9, S19</t>
  </si>
  <si>
    <t xml:space="preserve">NoVA 0.24 (CBRE H1'26); Hillsboro 0.21 (CBRE H1'26); DFW 1.8 (CBRE Q1'26); Columbus 0.1 (JLL 2026 via S9); Phoenix 3.0 (JLL mid-2025 - STALE, latest figure retrieved); Seattle 3.8 (aggregator S19, low reliability).</t>
  </si>
  <si>
    <t xml:space="preserve">B2</t>
  </si>
  <si>
    <t xml:space="preserve">Immediately available capacity</t>
  </si>
  <si>
    <t xml:space="preserve">MW</t>
  </si>
  <si>
    <t xml:space="preserve">log</t>
  </si>
  <si>
    <t xml:space="preserve">Reported + derived</t>
  </si>
  <si>
    <t xml:space="preserve">S2, S5, S8, S9</t>
  </si>
  <si>
    <t xml:space="preserve">Hillsboro ~1.0 MW (CBRE YE2025; none &gt;=5 MW contiguous); NoVA 10.8 MW (CBRE H1'26); DFW 39.6 MW (Q2'26); Phoenix 31 MW (JLL mid-2025). Seattle and Columbus DERIVED = inventory x vacancy. Log-scaled so one big number does not dominate.</t>
  </si>
  <si>
    <t xml:space="preserve">B3</t>
  </si>
  <si>
    <t xml:space="preserve">Wholesale asking rent (midpoint of published range)</t>
  </si>
  <si>
    <t xml:space="preserve">$/kW-month</t>
  </si>
  <si>
    <t xml:space="preserve">Reported + 1 estimate</t>
  </si>
  <si>
    <t xml:space="preserve">S4, S5, S10</t>
  </si>
  <si>
    <t xml:space="preserve">Hillsboro 175-225 (CBRE H2'25); Phoenix 170-210 (CBRE 250-500 kW); NoVA 190-235 (CBRE Q1'26, 250-500 kW); DFW 130-170 and Columbus 125-165 (JLL mid-2025, 1-5 MW tier). Seattle/Quincy = ESTIMATE of 155 (no published figure retrieved; low power cost, limited colo). Size tiers differ - treat as directional.</t>
  </si>
  <si>
    <t xml:space="preserve">B4</t>
  </si>
  <si>
    <t xml:space="preserve">Installed colocation inventory (market depth)</t>
  </si>
  <si>
    <t xml:space="preserve">Reported (definitions differ)</t>
  </si>
  <si>
    <t xml:space="preserve">S2, S5, S9, S19</t>
  </si>
  <si>
    <t xml:space="preserve">CBRE colocation inventory for Hillsboro, Phoenix, NoVA, DFW. Columbus figure is JLL Central Ohio (includes large self-build/hyperscale, so not like-for-like). Seattle = 742 MW per aggregator (S19). Log-scaled.</t>
  </si>
  <si>
    <t xml:space="preserve">C1</t>
  </si>
  <si>
    <t xml:space="preserve">Network &amp; Latency</t>
  </si>
  <si>
    <t xml:space="preserve">Network / interconnection ecosystem (5 = best)</t>
  </si>
  <si>
    <t xml:space="preserve">S2, S35, general knowledge</t>
  </si>
  <si>
    <t xml:space="preserve">NoVA 5 (world's densest interconnection hub); Hillsboro 4 (subsea landing stations, one of two West Coast sites); DFW 4 (central US hub); Seattle 3 (Westin Building strong, Quincy more limited); Phoenix 3 and Columbus 3 (growing). CBRE notes &gt;20,000 route-miles of new fiber announced in 2026.</t>
  </si>
  <si>
    <t xml:space="preserve">C2</t>
  </si>
  <si>
    <t xml:space="preserve">Population-weighted estimated fiber RTT to 13 largest US metros</t>
  </si>
  <si>
    <t xml:space="preserve">ms (est.)</t>
  </si>
  <si>
    <t xml:space="preserve">Calculated (physics estimate)</t>
  </si>
  <si>
    <t xml:space="preserve">Latency sheet</t>
  </si>
  <si>
    <t xml:space="preserve">Great-circle distance x route factor, at ~200 km/ms in glass. Not a measured latency; edit assumptions on the Latency sheet. Real user distribution of the deployment would change this.</t>
  </si>
  <si>
    <t xml:space="preserve">D1</t>
  </si>
  <si>
    <t xml:space="preserve">Risk &amp; Resilience</t>
  </si>
  <si>
    <t xml:space="preserve">Natural-hazard exposure (5 = highest)</t>
  </si>
  <si>
    <t xml:space="preserve">Mixed: NRI-based + analyst</t>
  </si>
  <si>
    <t xml:space="preserve">S29, S30, S31, S34</t>
  </si>
  <si>
    <t xml:space="preserve">FEMA NRI v1.20 context: Maricopa County is among the 5 riskiest US counties (S29); Dallas County in the top 10 and top for hail in the first NRI (S30); Loudoun County scored lowest (2021 release); Grant County WA 44/100 'moderate' (derived, S31). Hillsboro and Columbus are ANALYST scores. Official county NRI composite scores could not be pulled automatically - replace with the NRI data download.</t>
  </si>
  <si>
    <t xml:space="preserve">D2</t>
  </si>
  <si>
    <t xml:space="preserve">Water stress (5 = extremely high)</t>
  </si>
  <si>
    <t xml:space="preserve">Mixed: WRI-based + analyst</t>
  </si>
  <si>
    <t xml:space="preserve">S32, S33, S34</t>
  </si>
  <si>
    <t xml:space="preserve">WRI Aqueduct via S32: Phoenix 'extremely high', Northern Virginia 'medium-high (seasonal)'. Columbus: city water administrator says excess supply (S33). Texas has a statewide supply shortfall (DFW scored 3). Seattle and Hillsboro are ANALYST scores.</t>
  </si>
  <si>
    <t xml:space="preserve">D3</t>
  </si>
  <si>
    <t xml:space="preserve">Local approval / moratorium risk (5 = highest)</t>
  </si>
  <si>
    <t xml:space="preserve">S2, S22, S35, S19</t>
  </si>
  <si>
    <t xml:space="preserve">Hillsboro 5 (120-day moratorium Jul 2026, enterprise-zone tax limits); NoVA 4 (CBRE: land, permitting, power; community opposition); Seattle/Quincy 3 (Quincy pro-development, but Seattle proper paused &gt;20 MVA applications in 2026); Phoenix, DFW, Columbus 3 (growing local opposition; CBRE says community acceptance now ranks with power as a constraint).</t>
  </si>
  <si>
    <t xml:space="preserve">E1</t>
  </si>
  <si>
    <t xml:space="preserve">Policy &amp; Incentives</t>
  </si>
  <si>
    <t xml:space="preserve">Data-center sales-tax exemption status (5 = intact and stable)</t>
  </si>
  <si>
    <t xml:space="preserve">Verified status, analyst scale</t>
  </si>
  <si>
    <t xml:space="preserve">S21, S26-S28, S35</t>
  </si>
  <si>
    <t xml:space="preserve">AZ: 3-year pause on new certificates (Jul 2026-Jun 2029). OH: new applications paused 27 May 2026. OR: HB 4084 temporarily restricts the enterprise-zone exemption. WA: new builds still eligible, replacement-equipment exemption repealed Jul 2026. VA: exemption survived 2026 budget fight (energy tax added). TX: intact, but repeal is reportedly a 2027 priority.</t>
  </si>
  <si>
    <t xml:space="preserve">F1</t>
  </si>
  <si>
    <t xml:space="preserve">Build &amp; Operations</t>
  </si>
  <si>
    <t xml:space="preserve">Construction labor / contractor availability (5 = best)</t>
  </si>
  <si>
    <t xml:space="preserve">Analyst score (low confidence)</t>
  </si>
  <si>
    <t xml:space="preserve">none - judgment</t>
  </si>
  <si>
    <t xml:space="preserve">No sourced data. Judgment: DFW deepest trades pool; Quincy remote and thin; others competitive with heavy concurrent construction. Replace with BLS electrician/construction employment data.</t>
  </si>
  <si>
    <t xml:space="preserve">F2</t>
  </si>
  <si>
    <t xml:space="preserve">Climate / free-cooling suitability (5 = best)</t>
  </si>
  <si>
    <t xml:space="preserve">general knowledge</t>
  </si>
  <si>
    <t xml:space="preserve">Cool/dry PNW = best; hot Phoenix = worst; humid summers in NoVA, DFW, Columbus in between. Replace with cooling-degree-day data.</t>
  </si>
  <si>
    <t xml:space="preserve">G1</t>
  </si>
  <si>
    <t xml:space="preserve">Growth Headroom</t>
  </si>
  <si>
    <t xml:space="preserve">Expansion headroom to 100+ MW within ~5 years (5 = best)</t>
  </si>
  <si>
    <t xml:space="preserve">S2, S20, S24, S25, S13, S9, S16</t>
  </si>
  <si>
    <t xml:space="preserve">Quincy 2 (Grant PUD requests ~900 MW vs ~350 MW uncommitted); Hillsboro 1 (no space, moratorium); Phoenix 3 (APS hasn't committed to new DC load since Jan, but 2 GW gas plant planned 2031-33); NoVA 2 (40 GW queue, earliest new blocks late 2028); DFW 4 (3.7 GW planned, 765 MW under construction); Columbus 3 (AEP pipeline cut by more than half after tariff).</t>
  </si>
  <si>
    <t xml:space="preserve">G2</t>
  </si>
  <si>
    <t xml:space="preserve">Bridging / behind-the-meter power feasibility (5 = best)</t>
  </si>
  <si>
    <t xml:space="preserve">S2, S25, S9</t>
  </si>
  <si>
    <t xml:space="preserve">DFW 5 (CBRE: behind-the-meter gaining acceptance); Phoenix 4 (gas pipeline expansion, up to 1.2 GW behind-the-meter capacity); Columbus 3 (nuclear/BTM announcements); NoVA 2 (permitting; Vantage built own turbines); Quincy 2 (hydro-limited); Hillsboro 1.</t>
  </si>
  <si>
    <t xml:space="preserve">Type: 'numeric' variables are min-max scaled across the six markets (0 = worst, 100 = best); 'rubric' variables are 1-5 scores scaled on an absolute 0-100 scale. 'log' transform applied to MW variables so one very large market does not flatten the rest.</t>
  </si>
  <si>
    <t xml:space="preserve">Caveat: rent and vacancy come from different brokers, size tiers and dates (see notes); treat them as directional. Rubric scores are the analyst's judgment from the evidence in the notes and on MarketFacts - change them and every sheet updates.</t>
  </si>
  <si>
    <t xml:space="preserve">Weights - category weights by scenario, and variable weights</t>
  </si>
  <si>
    <t xml:space="preserve">Blue = editable. Each scenario's category weights must total 100%. The 'Custom' column is yours to change; pick it on the Summary sheet.</t>
  </si>
  <si>
    <t xml:space="preserve">#</t>
  </si>
  <si>
    <t xml:space="preserve">Power-first</t>
  </si>
  <si>
    <t xml:space="preserve">Latency-first</t>
  </si>
  <si>
    <t xml:space="preserve">Cost-first</t>
  </si>
  <si>
    <t xml:space="preserve">Risk/Regulatory-first</t>
  </si>
  <si>
    <t xml:space="preserve">Speed-to-market</t>
  </si>
  <si>
    <t xml:space="preserve">Custom</t>
  </si>
  <si>
    <t xml:space="preserve">Selected</t>
  </si>
  <si>
    <t xml:space="preserve">Total</t>
  </si>
  <si>
    <t xml:space="preserve">Check</t>
  </si>
  <si>
    <t xml:space="preserve">Share within category</t>
  </si>
  <si>
    <t xml:space="preserve">Weight: Base</t>
  </si>
  <si>
    <t xml:space="preserve">Weight: Power-first</t>
  </si>
  <si>
    <t xml:space="preserve">Weight: Latency-first</t>
  </si>
  <si>
    <t xml:space="preserve">Weight: Cost-first</t>
  </si>
  <si>
    <t xml:space="preserve">Weight: Risk/Regulatory-first</t>
  </si>
  <si>
    <t xml:space="preserve">Weight: Speed-to-market</t>
  </si>
  <si>
    <t xml:space="preserve">Weight: Custom</t>
  </si>
  <si>
    <t xml:space="preserve">Weight: Selected</t>
  </si>
  <si>
    <t xml:space="preserve">Total (must be 100%)</t>
  </si>
  <si>
    <t xml:space="preserve">Check: shares within each category sum to 100%</t>
  </si>
  <si>
    <t xml:space="preserve">Scoring - normalized 0-100 (100 = best of the six on that variable)</t>
  </si>
  <si>
    <t xml:space="preserve">Numeric variables: min-max across the six markets after optional log transform. Rubric variables: absolute (score-1)/4. Direction ('lower is better') is applied so that 100 is always best.</t>
  </si>
  <si>
    <t xml:space="preserve">Transformed: Seattle / Quincy, WA</t>
  </si>
  <si>
    <t xml:space="preserve">Transformed: Hillsboro / Portland, OR</t>
  </si>
  <si>
    <t xml:space="preserve">Transformed: Phoenix, AZ</t>
  </si>
  <si>
    <t xml:space="preserve">Transformed: Northern Virginia</t>
  </si>
  <si>
    <t xml:space="preserve">Transformed: Dallas-Fort Worth, TX</t>
  </si>
  <si>
    <t xml:space="preserve">Transformed: Columbus, OH</t>
  </si>
  <si>
    <t xml:space="preserve">Min</t>
  </si>
  <si>
    <t xml:space="preserve">Max</t>
  </si>
  <si>
    <t xml:space="preserve">Category scores (weighted by within-category shares)</t>
  </si>
  <si>
    <t xml:space="preserve">TOTAL weighted score (selected scenario)</t>
  </si>
  <si>
    <t xml:space="preserve">Rank (1 = best)</t>
  </si>
  <si>
    <t xml:space="preserve">Check: total via variable weights minus total via category weights (should be 0)</t>
  </si>
  <si>
    <t xml:space="preserve">Sensitivity - how the ranking moves with the weights</t>
  </si>
  <si>
    <t xml:space="preserve">All cells are formulas driven by the Scoring and Weights sheets. 'Custom' reflects whatever you type into the Custom column on Weights.</t>
  </si>
  <si>
    <t xml:space="preserve">1. Weighted score (0-100) by scenario</t>
  </si>
  <si>
    <t xml:space="preserve">2. Rank by scenario (1 = best)</t>
  </si>
  <si>
    <t xml:space="preserve">Best rank</t>
  </si>
  <si>
    <t xml:space="preserve">Worst rank</t>
  </si>
  <si>
    <t xml:space="preserve">Avg rank</t>
  </si>
  <si>
    <t xml:space="preserve"># first places</t>
  </si>
  <si>
    <t xml:space="preserve">Best/worst/avg/# first places use the six named scenarios (columns B-G), excluding Custom.</t>
  </si>
  <si>
    <t xml:space="preserve">3. One-way sweep: weight on Power &amp; Grid (other categories scaled proportionally from Base)</t>
  </si>
  <si>
    <t xml:space="preserve">Power weight</t>
  </si>
  <si>
    <t xml:space="preserve">Leader</t>
  </si>
  <si>
    <t xml:space="preserve">4. Two-way sweep: Power weight vs Network &amp; Latency weight (other categories scaled proportionally from Base). Cell = leading market.</t>
  </si>
  <si>
    <t xml:space="preserve">Power wt</t>
  </si>
  <si>
    <t xml:space="preserve">Latency wt</t>
  </si>
  <si>
    <t xml:space="preserve">Leader matrix (rows = Power weight, columns = Network &amp; Latency weight)</t>
  </si>
  <si>
    <t xml:space="preserve">Power \ Latency</t>
  </si>
  <si>
    <t xml:space="preserve">Latency estimate - population-weighted fiber round-trip time</t>
  </si>
  <si>
    <t xml:space="preserve">Physics-based estimate only (great-circle distance x route factor / speed of light in fiber). Not measured. Blue cells are editable.</t>
  </si>
  <si>
    <t xml:space="preserve">Fiber route factor (route length / straight-line)</t>
  </si>
  <si>
    <t xml:space="preserve">Assumption: real fiber routes typically run 1.3-1.6x the straight-line distance.</t>
  </si>
  <si>
    <t xml:space="preserve">Signal speed in fiber (km per ms, one way)</t>
  </si>
  <si>
    <t xml:space="preserve">Assumption: light travels about 200,000 km/s in glass (about 5 microseconds per km).</t>
  </si>
  <si>
    <t xml:space="preserve">Site coordinates are in F15:K16 (blue). Metro table below.</t>
  </si>
  <si>
    <t xml:space="preserve">Site</t>
  </si>
  <si>
    <t xml:space="preserve">Latitude</t>
  </si>
  <si>
    <t xml:space="preserve">Longitude</t>
  </si>
  <si>
    <t xml:space="preserve">Metro</t>
  </si>
  <si>
    <t xml:space="preserve">Lat</t>
  </si>
  <si>
    <t xml:space="preserve">Lon</t>
  </si>
  <si>
    <t xml:space="preserve">Pop. (M, approx.)</t>
  </si>
  <si>
    <t xml:space="preserve">Metro (RTT in ms) / Site</t>
  </si>
  <si>
    <t xml:space="preserve">Quincy, WA</t>
  </si>
  <si>
    <t xml:space="preserve">Hillsboro, OR</t>
  </si>
  <si>
    <t xml:space="preserve">Ashburn, VA</t>
  </si>
  <si>
    <t xml:space="preserve">Dallas, TX</t>
  </si>
  <si>
    <t xml:space="preserve">New York</t>
  </si>
  <si>
    <t xml:space="preserve">Los Angeles</t>
  </si>
  <si>
    <t xml:space="preserve">Chicago</t>
  </si>
  <si>
    <t xml:space="preserve">Dallas-Fort Worth</t>
  </si>
  <si>
    <t xml:space="preserve">Houston</t>
  </si>
  <si>
    <t xml:space="preserve">Washington DC</t>
  </si>
  <si>
    <t xml:space="preserve">Atlanta</t>
  </si>
  <si>
    <t xml:space="preserve">Philadelphia</t>
  </si>
  <si>
    <t xml:space="preserve">Miami</t>
  </si>
  <si>
    <t xml:space="preserve">Phoenix</t>
  </si>
  <si>
    <t xml:space="preserve">Boston</t>
  </si>
  <si>
    <t xml:space="preserve">San Francisco Bay</t>
  </si>
  <si>
    <t xml:space="preserve">Seattle</t>
  </si>
  <si>
    <t xml:space="preserve">Population-weighted average RTT (ms)</t>
  </si>
  <si>
    <t xml:space="preserve">Notes: metro populations are rounded approximations of recent Census metro estimates (assumption, blue). Weighting by population assumes users are spread like the US population; a deployment serving a specific region would weight differently.</t>
  </si>
  <si>
    <t xml:space="preserve">Market facts - qualitative evidence behind the scores (as of Oct 2026)</t>
  </si>
  <si>
    <t xml:space="preserve">Not scored directly; supports the rubric scores and the memo. Source IDs refer to the Sources sheet.</t>
  </si>
  <si>
    <t xml:space="preserve">Topic</t>
  </si>
  <si>
    <t xml:space="preserve">Utility / grid</t>
  </si>
  <si>
    <t xml:space="preserve">Grant County PUD (Quincy); Seattle City Light / PSE (Seattle core). Western Interconnection; hydro-based.</t>
  </si>
  <si>
    <t xml:space="preserve">Portland General Electric (Pacific Power elsewhere in OR). Western Interconnection.</t>
  </si>
  <si>
    <t xml:space="preserve">APS and SRP. Desert Southwest.</t>
  </si>
  <si>
    <t xml:space="preserve">Dominion Energy Virginia inside PJM.</t>
  </si>
  <si>
    <t xml:space="preserve">Oncor and others inside ERCOT.</t>
  </si>
  <si>
    <t xml:space="preserve">AEP Ohio inside PJM.</t>
  </si>
  <si>
    <t xml:space="preserve">Power queue / availability</t>
  </si>
  <si>
    <t xml:space="preserve">Grant PUD: data-center requests above ~900 MW vs roughly 350 MW of uncommitted hydro; load-growth limits and a high-demand tariff (S19, S20).</t>
  </si>
  <si>
    <t xml:space="preserve">No facility with &gt;=5 MW contiguous; ~1.0 MW available at YE2025; &gt;90% of 170.3 MW under construction preleased (S5, S6).</t>
  </si>
  <si>
    <t xml:space="preserve">APS has not committed to new data-center customers since January 2026; 10-18 GW pending; SRP aims to double generation in 10 years (S24, S25).</t>
  </si>
  <si>
    <t xml:space="preserve">Dominion: &gt;40 GW pending requests; up to ~7 years for 100 MW; earliest new blocks late 2028; 10.8 MW available (S2, S11, S13).</t>
  </si>
  <si>
    <t xml:space="preserve">ERCOT: ~427-474 GW of large-load requests; Batch Zero study began Sep 2026; 765 MW under construction, ~95% preleased; 3.7 GW planned (S2, S15).</t>
  </si>
  <si>
    <t xml:space="preserve">AEP Ohio pipeline fell from roughly 30 GW to 13 GW after tariff; long timelines reported (S12, S18).</t>
  </si>
  <si>
    <t xml:space="preserve">Tariff / contract terms</t>
  </si>
  <si>
    <t xml:space="preserve">New high-demand industrial tariff at Grant PUD to recover grid upgrade costs (S19).</t>
  </si>
  <si>
    <t xml:space="preserve">Schedule 96 (POWER Act): 20 MW+ self-fund distribution, ~90% minimum demand charge; data-center class up ~29.7% (S22, S23).</t>
  </si>
  <si>
    <t xml:space="preserve">APS load-commitment agreements; proposed ~45% increase for data-center rate class (S24).</t>
  </si>
  <si>
    <t xml:space="preserve">New data-center rate class under review; batch process caps projects at 300 MW (S14, S36).</t>
  </si>
  <si>
    <t xml:space="preserve">SB6: $50M security per GW, study fees from $100k, curtailment rights during load shed (S16).</t>
  </si>
  <si>
    <t xml:space="preserve">85% minimum demand, 8-12 year terms, 180 days' notice, study fee $10k-$100k (S17, S18).</t>
  </si>
  <si>
    <t xml:space="preserve">Local approvals / moratoria</t>
  </si>
  <si>
    <t xml:space="preserve">Seattle paused applications over 20 MVA in 2026; Quincy and Grant County generally pro-development (S19).</t>
  </si>
  <si>
    <t xml:space="preserve">Hillsboro 120-day moratorium (July 2026) on new applications (S22).</t>
  </si>
  <si>
    <t xml:space="preserve">Municipal restrictions and community opposition narrowing powered-land supply (S2).</t>
  </si>
  <si>
    <t xml:space="preserve">Land, permitting and power constraints; community opposition (S2).</t>
  </si>
  <si>
    <t xml:space="preserve">Extended rezoning and entitlement timelines (S2).</t>
  </si>
  <si>
    <t xml:space="preserve">Some local moratoria; state bills on tariffs and incentives pending (S18).</t>
  </si>
  <si>
    <t xml:space="preserve">Tax incentives</t>
  </si>
  <si>
    <t xml:space="preserve">New builds still exempt from sales tax on equipment; replacement-equipment exemption repealed Jul 2026 (S21).</t>
  </si>
  <si>
    <t xml:space="preserve">HB 4084 temporarily restricts enterprise-zone property-tax exemption (S2, S35).</t>
  </si>
  <si>
    <t xml:space="preserve">3-year pause on new sales-tax exemption certificates, 1 Jul 2026 to 30 Jun 2029 (S26).</t>
  </si>
  <si>
    <t xml:space="preserve">Sales-tax exemption retained in 2026 budget; energy tax added; politically contested (S26, S28).</t>
  </si>
  <si>
    <t xml:space="preserve">Exemption intact; repeal flagged as possible 2027 priority (S27, S28).</t>
  </si>
  <si>
    <t xml:space="preserve">New exemption applications paused since 27 May 2026; bills pending (S27, S28).</t>
  </si>
  <si>
    <t xml:space="preserve">Water / hazard notes</t>
  </si>
  <si>
    <t xml:space="preserve">Moderate NRI composite for Grant County; wildfire and air quality are the drivers (S31).</t>
  </si>
  <si>
    <t xml:space="preserve">Cascadia seismic risk (analyst note).</t>
  </si>
  <si>
    <t xml:space="preserve">WRI 'extremely high' water stress; Maricopa among top-5 NRI counties; Colorado River cuts (S29, S32).</t>
  </si>
  <si>
    <t xml:space="preserve">Medium-high seasonal water stress; Potomac supply risk; First Street flags high composite climate risk (S32, S34).</t>
  </si>
  <si>
    <t xml:space="preserve">Dallas: top hail risk, top-10 NRI (first release); 2025 flooding hit substations in a major Texas market (S30, S34).</t>
  </si>
  <si>
    <t xml:space="preserve">City says supply is ample (S33); tornado and winter-storm exposure (analyst note).</t>
  </si>
  <si>
    <t xml:space="preserve">Notable operators / activity</t>
  </si>
  <si>
    <t xml:space="preserve">Sabey, Vantage, Microsoft, H5 in Quincy; Sabey 45 MW build-to-suit (S19).</t>
  </si>
  <si>
    <t xml:space="preserve">STACK 121 MW expansion; NTT, Flexential, Aligned (S2, S5).</t>
  </si>
  <si>
    <t xml:space="preserve">Aligned, QTS, Vantage, STACK, Prime; absorbed 260+ MW in H1 2026 (S2).</t>
  </si>
  <si>
    <t xml:space="preserve">STACK 1 GW Stafford campus; AWS land in Loudoun; Digital Realty acquisitions (S2).</t>
  </si>
  <si>
    <t xml:space="preserve">Behind-the-meter projects accepted; West Texas emerging as alternative (S2).</t>
  </si>
  <si>
    <t xml:space="preserve">Meta, Google, AWS, Microsoft campuses; Meta Prometheus &gt;1 GW in New Albany (S9).</t>
  </si>
  <si>
    <t xml:space="preserve">Retrieved 7 Oct 2026. Reliability: High = government/regulator/primary broker; Medium = trade press; Low = aggregators, blogs, derived summaries (verify before relying).</t>
  </si>
  <si>
    <t xml:space="preserve">Source</t>
  </si>
  <si>
    <t xml:space="preserve">URL</t>
  </si>
  <si>
    <t xml:space="preserve">Reliability</t>
  </si>
  <si>
    <t xml:space="preserve">Used for</t>
  </si>
  <si>
    <t xml:space="preserve">EIA - Electric Power Annual (2024 data): average revenue per kWh by state</t>
  </si>
  <si>
    <t xml:space="preserve">https://www.eia.gov/electricity/Annual/secrev-map.php</t>
  </si>
  <si>
    <t xml:space="preserve">High</t>
  </si>
  <si>
    <t xml:space="preserve">Industrial power price</t>
  </si>
  <si>
    <t xml:space="preserve">S2</t>
  </si>
  <si>
    <t xml:space="preserve">Data Center Frontier - CBRE North America Data Center Trends H1 2026 (28 Aug 2026)</t>
  </si>
  <si>
    <t xml:space="preserve">https://www.datacenterfrontier.com/site-selection/news/55401462/cbre-record-data-center-construction-fails-to-ease-capacity-crunch</t>
  </si>
  <si>
    <t xml:space="preserve">Medium</t>
  </si>
  <si>
    <t xml:space="preserve">Vacancy, availability, construction, moratoria, tax, take-or-pay trends</t>
  </si>
  <si>
    <t xml:space="preserve">S3</t>
  </si>
  <si>
    <t xml:space="preserve">CBRE press release - North American demand outpaces supply (H1 2026)</t>
  </si>
  <si>
    <t xml:space="preserve">https://www.cbre.com/press-releases/north-american-data-center-demand-continues-to-outpace-supply-despite-record-construction-activity</t>
  </si>
  <si>
    <t xml:space="preserve">National vacancy, absorption, rents</t>
  </si>
  <si>
    <t xml:space="preserve">S4</t>
  </si>
  <si>
    <t xml:space="preserve">CBRE - Global Data Center Trends 2026</t>
  </si>
  <si>
    <t xml:space="preserve">https://www.cbre.com/insights/reports/global-data-center-trends-2026</t>
  </si>
  <si>
    <t xml:space="preserve">DFW vacancy 1.8%, NoVA 0.3%, rents</t>
  </si>
  <si>
    <t xml:space="preserve">S5</t>
  </si>
  <si>
    <t xml:space="preserve">CBRE - Hillsboro market, H2 2025 (press release)</t>
  </si>
  <si>
    <t xml:space="preserve">https://www.cbre.com/press-releases/hillsboro-data-center-market-sees-strong-demand-in-2025-amid-record-national-growth</t>
  </si>
  <si>
    <t xml:space="preserve">Hillsboro inventory, vacancy, rent range</t>
  </si>
  <si>
    <t xml:space="preserve">S6</t>
  </si>
  <si>
    <t xml:space="preserve">CBRE - Hillsboro, OR market page, H1 2026</t>
  </si>
  <si>
    <t xml:space="preserve">https://www.cbre.com/insights/books/north-america-data-center-trends-h1-2026/hillsboro-or-data-center-market</t>
  </si>
  <si>
    <t xml:space="preserve">Hillsboro 0.21% vacancy, no &gt;=5 MW, 170.3 MW under construction</t>
  </si>
  <si>
    <t xml:space="preserve">S7</t>
  </si>
  <si>
    <t xml:space="preserve">JLL - North America Data Center Report, Midyear 2026</t>
  </si>
  <si>
    <t xml:space="preserve">https://www.jll.com/en-us/insights/market-dynamics/north-america-data-centers</t>
  </si>
  <si>
    <t xml:space="preserve">National vacancy ~1%, frontier markets</t>
  </si>
  <si>
    <t xml:space="preserve">S8</t>
  </si>
  <si>
    <t xml:space="preserve">AZ Big Media - JLL Midyear 2025 Phoenix</t>
  </si>
  <si>
    <t xml:space="preserve">https://azbigmedia.com/real-estate/big-deals/industrial/phoenix-ranked-no-2-in-us-for-planned-data-center-development/</t>
  </si>
  <si>
    <t xml:space="preserve">Phoenix vacancy 3%, 31 MW (mid-2025, stale)</t>
  </si>
  <si>
    <t xml:space="preserve">S9</t>
  </si>
  <si>
    <t xml:space="preserve">Apollo Technical - Top US data center markets (cites CBRE Q2 2026 and JLL 2026)</t>
  </si>
  <si>
    <t xml:space="preserve">https://www.apollotechnical.com/top-data-center-markets/</t>
  </si>
  <si>
    <t xml:space="preserve">Low</t>
  </si>
  <si>
    <t xml:space="preserve">DFW 1,432.8 MW / 39.6 MW available; Phoenix 1,069.2 MW; Columbus 0.1% vacancy</t>
  </si>
  <si>
    <t xml:space="preserve">S10</t>
  </si>
  <si>
    <t xml:space="preserve">GoDataCenters - Colocation pricing by market 2026 (JLL midyear 2025 ranges)</t>
  </si>
  <si>
    <t xml:space="preserve">https://godatacenters.com/blog/colocation-pricing-by-market-2026</t>
  </si>
  <si>
    <t xml:space="preserve">Phoenix, DFW, Columbus rent ranges</t>
  </si>
  <si>
    <t xml:space="preserve">S11</t>
  </si>
  <si>
    <t xml:space="preserve">ConstructionOwners - How long it takes to power a data center in 2026 (JLL Outlook)</t>
  </si>
  <si>
    <t xml:space="preserve">https://www.constructionowners.com/insights/how-long-it-actually-takes-to-power-a-data-center-in-2026-a-u-s-market-by-market-reality-check</t>
  </si>
  <si>
    <t xml:space="preserve">NoVA ~7 yrs, national avg 4 yrs, Phoenix/Columbus context</t>
  </si>
  <si>
    <t xml:space="preserve">S12</t>
  </si>
  <si>
    <t xml:space="preserve">Avanza Energy (Substack) - lead time to power by market</t>
  </si>
  <si>
    <t xml:space="preserve">https://avanzaenergy.substack.com/p/data-centers-are-killing-the-grid</t>
  </si>
  <si>
    <t xml:space="preserve">Columbus 84 months, Phoenix/Atlanta 60 months</t>
  </si>
  <si>
    <t xml:space="preserve">S13</t>
  </si>
  <si>
    <t xml:space="preserve">Datacentres.com - Northern Virginia market (29 Aug 2026)</t>
  </si>
  <si>
    <t xml:space="preserve">https://www.datacentres.com/news/northern-virginia-data-centre-market-4-650-mw-live-as-dominion-s-40-gw-interconn-slot2-2026-08-29</t>
  </si>
  <si>
    <t xml:space="preserve">Dominion &gt;40 GW pending requests; new blocks not before late 2028</t>
  </si>
  <si>
    <t xml:space="preserve">S14</t>
  </si>
  <si>
    <t xml:space="preserve">Virginia Mercury - Dominion large-load queue standards</t>
  </si>
  <si>
    <t xml:space="preserve">https://virginiamercury.com/?p=47424</t>
  </si>
  <si>
    <t xml:space="preserve">Dominion batch process, 300 MW cap per project</t>
  </si>
  <si>
    <t xml:space="preserve">S15</t>
  </si>
  <si>
    <t xml:space="preserve">ERCOT - Senate Business &amp; Commerce update (29 Jul 2026)</t>
  </si>
  <si>
    <t xml:space="preserve">https://www.ercot.com/files/docs/2026/07/29/ERCOT-Senate-July-29-Panel-1-Assessing-The-Grid.pdf</t>
  </si>
  <si>
    <t xml:space="preserve">~474 GW large-load requests, Batch Zero study</t>
  </si>
  <si>
    <t xml:space="preserve">S16</t>
  </si>
  <si>
    <t xml:space="preserve">Compute Heat Rate (Substack) - Texas SB6 and the queue</t>
  </si>
  <si>
    <t xml:space="preserve">https://computeheatrate.substack.com/p/the-queue-survived-even-thrived-with</t>
  </si>
  <si>
    <t xml:space="preserve">SB6 security deposit, fees, curtailment</t>
  </si>
  <si>
    <t xml:space="preserve">S17</t>
  </si>
  <si>
    <t xml:space="preserve">AEP Ohio - Data Center Tariff page</t>
  </si>
  <si>
    <t xml:space="preserve">https://www.aepohio.com/company/about/rates/data-center-tariff</t>
  </si>
  <si>
    <t xml:space="preserve">85% minimum demand, study fees</t>
  </si>
  <si>
    <t xml:space="preserve">S18</t>
  </si>
  <si>
    <t xml:space="preserve">Data Center Dynamics - PUCO requires 180 days' notice from data centers</t>
  </si>
  <si>
    <t xml:space="preserve">https://www.datacenterdynamics.com/en/news/ohio-regulators-direct-data-center-firms-to-provide-utility-aep-ohio-with-180-days-notice-prior-to-grid-connection/</t>
  </si>
  <si>
    <t xml:space="preserve">Ohio 180-day notice, pipeline cut</t>
  </si>
  <si>
    <t xml:space="preserve">S19</t>
  </si>
  <si>
    <t xml:space="preserve">Datacentres.com - Seattle market: 742 MW online (23 Aug 2026)</t>
  </si>
  <si>
    <t xml:space="preserve">https://www.datacentres.com/news/seattle-data-centre-market-742-mw-online-as-central-washington-s-hydropower-corr-slot2-2026-08-23</t>
  </si>
  <si>
    <t xml:space="preserve">Seattle inventory/vacancy, Grant PUD queue</t>
  </si>
  <si>
    <t xml:space="preserve">S20</t>
  </si>
  <si>
    <t xml:space="preserve">GovTech - Grant County PUD to cap data center electricity</t>
  </si>
  <si>
    <t xml:space="preserve">https://www.govtech.com/artificial-intelligence/grant-county-wash-utility-to-cap-data-center-electricity</t>
  </si>
  <si>
    <t xml:space="preserve">Grant PUD load-growth limits</t>
  </si>
  <si>
    <t xml:space="preserve">S21</t>
  </si>
  <si>
    <t xml:space="preserve">Ballard Spahr - Washington 2026 session, SB 6231</t>
  </si>
  <si>
    <t xml:space="preserve">https://www.ballardspahr.com/insights/alerts-and-articles/2026/04/washington-state-2026-session-legislature-repeals-and-rolls-back-certain-recently-enacted-taxes</t>
  </si>
  <si>
    <t xml:space="preserve">WA replacement-equipment exemption repealed</t>
  </si>
  <si>
    <t xml:space="preserve">S22</t>
  </si>
  <si>
    <t xml:space="preserve">KATU - Hillsboro 120-day data center moratorium</t>
  </si>
  <si>
    <t xml:space="preserve">https://katu.com/news/local/hillsboro-pauses-new-ai-data-centers-whats-next-over-the-next-120-days-portland-oregon-big-tech-green-environment-climate-change-water-local-community-utilities-money</t>
  </si>
  <si>
    <t xml:space="preserve">Hillsboro moratorium, POWER Act ~30% DC rate rise</t>
  </si>
  <si>
    <t xml:space="preserve">S23</t>
  </si>
  <si>
    <t xml:space="preserve">KATU - PGE rates under the POWER Act</t>
  </si>
  <si>
    <t xml:space="preserve">https://katu.com/news/local/pge-customers-to-see-reduced-rates-at-the-expense-of-data-centers-general-electriccustomers-money-commercial-big-business-rate-hike-local-budget</t>
  </si>
  <si>
    <t xml:space="preserve">29.7% DC rate increase</t>
  </si>
  <si>
    <t xml:space="preserve">S24</t>
  </si>
  <si>
    <t xml:space="preserve">KJZZ - APS cannot commit to new data centers (2 Sep 2026)</t>
  </si>
  <si>
    <t xml:space="preserve">https://www.kjzz.org/business/2026-09-02/aps-says-it-cant-commit-to-new-data-centers-because-of-electric-grid-constraints</t>
  </si>
  <si>
    <t xml:space="preserve">APS no new commitments since January</t>
  </si>
  <si>
    <t xml:space="preserve">S25</t>
  </si>
  <si>
    <t xml:space="preserve">Data Center Dynamics - APS 2 GW gas plant under subscription model</t>
  </si>
  <si>
    <t xml:space="preserve">https://www.datacenterdynamics.com/en/news/aps-plans-2gw-gas-plant-to-power-arizona-data-centers-under-subscription-model/</t>
  </si>
  <si>
    <t xml:space="preserve">APS queue ~18 GW; plant phase 2 ~2031-33</t>
  </si>
  <si>
    <t xml:space="preserve">S26</t>
  </si>
  <si>
    <t xml:space="preserve">MultiState - State data center policy shifts (22 Jun 2026)</t>
  </si>
  <si>
    <t xml:space="preserve">https://www.multistate.us/insider/2026/6/22/state-data-center-policy-shifts-as-governors-impose-new-restrictions</t>
  </si>
  <si>
    <t xml:space="preserve">Arizona 3-year exemption pause; Virginia status</t>
  </si>
  <si>
    <t xml:space="preserve">S27</t>
  </si>
  <si>
    <t xml:space="preserve">ConstructionOwners - Data center tax incentives, state by state</t>
  </si>
  <si>
    <t xml:space="preserve">https://www.constructionowners.com/insights/data-center-tax-incentives-state-by-state-whos-still-giving-whos-taking-back</t>
  </si>
  <si>
    <t xml:space="preserve">Ohio pause (27 May 2026), Texas/Virginia status</t>
  </si>
  <si>
    <t xml:space="preserve">S28</t>
  </si>
  <si>
    <t xml:space="preserve">Sales.tax - Ohio, Arizona, Illinois pause exemptions</t>
  </si>
  <si>
    <t xml:space="preserve">https://sales.tax/sales-tax-updates/data-center-sales-tax-exemption-paused-ohio-arizona-illinois-2026/</t>
  </si>
  <si>
    <t xml:space="preserve">Ohio/Arizona pauses; Texas 2027 repeal risk</t>
  </si>
  <si>
    <t xml:space="preserve">S29</t>
  </si>
  <si>
    <t xml:space="preserve">HomeSnacks - riskiest county per state (FEMA NRI v1.20, Dec 2025)</t>
  </si>
  <si>
    <t xml:space="preserve">https://www.homesnacks.com/riskiest-county-in-every-state/</t>
  </si>
  <si>
    <t xml:space="preserve">Maricopa County in national top 5</t>
  </si>
  <si>
    <t xml:space="preserve">S30</t>
  </si>
  <si>
    <t xml:space="preserve">Insurance Journal - FEMA's first National Risk Index (2021)</t>
  </si>
  <si>
    <t xml:space="preserve">https://www.insurancejournal.com/news/national/2021/01/05/596059.htm</t>
  </si>
  <si>
    <t xml:space="preserve">Dallas top 10 and hail; Loudoun lowest (2021 vintage)</t>
  </si>
  <si>
    <t xml:space="preserve">S31</t>
  </si>
  <si>
    <t xml:space="preserve">ProtectMyZip - Grant County, WA (NRI v1.20-derived)</t>
  </si>
  <si>
    <t xml:space="preserve">https://protectmyzip.com/county/wa/grant</t>
  </si>
  <si>
    <t xml:space="preserve">Grant County 44/100 moderate</t>
  </si>
  <si>
    <t xml:space="preserve">S32</t>
  </si>
  <si>
    <t xml:space="preserve">Cambridge Associates / Ceres - data centers and water stress (WRI Aqueduct)</t>
  </si>
  <si>
    <t xml:space="preserve">https://view.ceros.com/cambridge-associates/figure-4-data-centers-water-stress</t>
  </si>
  <si>
    <t xml:space="preserve">Phoenix extremely high; NoVA medium-high</t>
  </si>
  <si>
    <t xml:space="preserve">S33</t>
  </si>
  <si>
    <t xml:space="preserve">Area Development - Rethinking water in site selection (Q2 2026)</t>
  </si>
  <si>
    <t xml:space="preserve">https://www.areadevelopment.com/data-centers/q2-2026/rethinking-water-in-data-center-site-selection.shtml</t>
  </si>
  <si>
    <t xml:space="preserve">Columbus water supply</t>
  </si>
  <si>
    <t xml:space="preserve">S34</t>
  </si>
  <si>
    <t xml:space="preserve">Smart Water Magazine - First Street climate-risk assessment of data center markets</t>
  </si>
  <si>
    <t xml:space="preserve">https://smartwatermagazine.com/news/smart-water-magazine/more-half-data-centers-face-drought-or-flood-risk-report-finds</t>
  </si>
  <si>
    <t xml:space="preserve">NoVA among highest composite climate risk</t>
  </si>
  <si>
    <t xml:space="preserve">S35</t>
  </si>
  <si>
    <t xml:space="preserve">Cedar Mill News - Hillsboro and Oregon move to limit data center growth (Aug 2026)</t>
  </si>
  <si>
    <t xml:space="preserve">https://cedarmillnews.com/article/0826-hillsboro-and-oregon-are-moving-to-limit-data-center-growth/</t>
  </si>
  <si>
    <t xml:space="preserve">Oregon tax-break moratorium; Hillsboro landing stations</t>
  </si>
  <si>
    <t xml:space="preserve">S36</t>
  </si>
  <si>
    <t xml:space="preserve">Interconnection.fyi - Virginia fast-track large-load queue case PUR-2026-00011</t>
  </si>
  <si>
    <t xml:space="preserve">https://newsletter.interconnection.fyi/p/colocation-in-ercot-evolves-virginia</t>
  </si>
  <si>
    <t xml:space="preserve">Virginia SCC fast-track proposal; ERCOT batch rules</t>
  </si>
  <si>
    <t xml:space="preserve">S37</t>
  </si>
  <si>
    <t xml:space="preserve">ElectricChoice - data center moratorium tracker</t>
  </si>
  <si>
    <t xml:space="preserve">https://www.electricchoice.com/datacenters/moratoriums/</t>
  </si>
  <si>
    <t xml:space="preserve">NOT used in scoring. Lists a Texas action on new grid connections (3 Aug 2026) that could not be verified - see open questions</t>
  </si>
  <si>
    <t xml:space="preserve">Not retrieved / gaps</t>
  </si>
  <si>
    <t xml:space="preserve">Official FEMA National Risk Index county composite scores (v1.20): the data service was not reachable from this environment; D1 combines NRI-based reporting with analyst scores.</t>
  </si>
  <si>
    <t xml:space="preserve">Hillsboro and Seattle/Quincy asking rents and Seattle inventory/vacancy from a primary broker report; Seattle/Quincy rent is an estimate.</t>
  </si>
  <si>
    <t xml:space="preserve">Phoenix vacancy is from mid-2025 (JLL); the H1 2026 broker figure was not retrieved.</t>
  </si>
  <si>
    <t xml:space="preserve">Market-specific land prices, construction costs, property tax rates, and workforce data were not retrieved and are not scored.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</si>
</sst>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"/>
    <numFmt numFmtId="166" formatCode="General"/>
    <numFmt numFmtId="167" formatCode="0"/>
    <numFmt numFmtId="168" formatCode="0.00"/>
    <numFmt numFmtId="169" formatCode="0%"/>
    <numFmt numFmtId="170" formatCode="#,##0.0"/>
    <numFmt numFmtId="171" formatCode="\$#,##0.0"/>
    <numFmt numFmtId="172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Weighted score - selected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Summary!C17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Summary!$B$18:$B$23</c:f>
              <c:strCache>
                <c:ptCount val="6"/>
                <c:pt idx="0">
                  <c:v>Dallas-Fort Worth, TX</c:v>
                </c:pt>
                <c:pt idx="1">
                  <c:v>Seattle / Quincy, WA</c:v>
                </c:pt>
                <c:pt idx="2">
                  <c:v>Columbus, OH</c:v>
                </c:pt>
                <c:pt idx="3">
                  <c:v>Phoenix, AZ</c:v>
                </c:pt>
                <c:pt idx="4">
                  <c:v>Northern Virginia</c:v>
                </c:pt>
                <c:pt idx="5">
                  <c:v>Hillsboro / Portland, OR</c:v>
                </c:pt>
              </c:strCache>
            </c:strRef>
          </c:cat>
          <c:val>
            <c:numRef>
              <c:f>Summary!$C$18:$C$23</c:f>
              <c:numCache>
                <c:formatCode>0.0</c:formatCode>
                <c:ptCount val="6"/>
                <c:pt idx="0">
                  <c:v>72.5251205742639</c:v>
                </c:pt>
                <c:pt idx="1">
                  <c:v>61.844744778323</c:v>
                </c:pt>
                <c:pt idx="2">
                  <c:v>47.3263726332648</c:v>
                </c:pt>
                <c:pt idx="3">
                  <c:v>41.1398363239937</c:v>
                </c:pt>
                <c:pt idx="4">
                  <c:v>40.6033286243784</c:v>
                </c:pt>
                <c:pt idx="5">
                  <c:v>29.7292396054591</c:v>
                </c:pt>
              </c:numCache>
            </c:numRef>
          </c:val>
        </c:ser>
        <c:gapWidth val="150"/>
        <c:overlap val="0"/>
        <c:axId val="13617430"/>
        <c:axId val="93162360"/>
      </c:barChart>
      <c:catAx>
        <c:axId val="1361743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62360"/>
        <c:crosses val="autoZero"/>
        <c:auto val="1"/>
        <c:lblAlgn val="ctr"/>
        <c:lblOffset val="100"/>
        <c:noMultiLvlLbl val="0"/>
      </c:catAx>
      <c:valAx>
        <c:axId val="93162360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174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 vs weight on Power &amp; Grid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Sensitivity!B23</c:f>
              <c:strCache>
                <c:ptCount val="1"/>
                <c:pt idx="0">
                  <c:v>Seattle / Quincy, WA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Sensitivity!$A$24:$A$34</c:f>
              <c:strCache>
                <c:ptCount val="11"/>
                <c:pt idx="0">
                  <c:v>10%</c:v>
                </c:pt>
                <c:pt idx="1">
                  <c:v>15%</c:v>
                </c:pt>
                <c:pt idx="2">
                  <c:v>20%</c:v>
                </c:pt>
                <c:pt idx="3">
                  <c:v>25%</c:v>
                </c:pt>
                <c:pt idx="4">
                  <c:v>30%</c:v>
                </c:pt>
                <c:pt idx="5">
                  <c:v>35%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55%</c:v>
                </c:pt>
                <c:pt idx="10">
                  <c:v>60%</c:v>
                </c:pt>
              </c:strCache>
            </c:strRef>
          </c:cat>
          <c:val>
            <c:numRef>
              <c:f>Sensitivity!$B$24:$B$34</c:f>
              <c:numCache>
                <c:formatCode>0.0</c:formatCode>
                <c:ptCount val="11"/>
                <c:pt idx="0">
                  <c:v>57.2934175024432</c:v>
                </c:pt>
                <c:pt idx="1">
                  <c:v>58.4312493214131</c:v>
                </c:pt>
                <c:pt idx="2">
                  <c:v>59.5690811403831</c:v>
                </c:pt>
                <c:pt idx="3">
                  <c:v>60.706912959353</c:v>
                </c:pt>
                <c:pt idx="4">
                  <c:v>61.844744778323</c:v>
                </c:pt>
                <c:pt idx="5">
                  <c:v>62.982576597293</c:v>
                </c:pt>
                <c:pt idx="6">
                  <c:v>64.1204084162629</c:v>
                </c:pt>
                <c:pt idx="7">
                  <c:v>65.2582402352329</c:v>
                </c:pt>
                <c:pt idx="8">
                  <c:v>66.3960720542028</c:v>
                </c:pt>
                <c:pt idx="9">
                  <c:v>67.5339038731728</c:v>
                </c:pt>
                <c:pt idx="10">
                  <c:v>68.6717356921428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Sensitivity!C23</c:f>
              <c:strCache>
                <c:ptCount val="1"/>
                <c:pt idx="0">
                  <c:v>Hillsboro / Portland, OR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Sensitivity!$A$24:$A$34</c:f>
              <c:strCache>
                <c:ptCount val="11"/>
                <c:pt idx="0">
                  <c:v>10%</c:v>
                </c:pt>
                <c:pt idx="1">
                  <c:v>15%</c:v>
                </c:pt>
                <c:pt idx="2">
                  <c:v>20%</c:v>
                </c:pt>
                <c:pt idx="3">
                  <c:v>25%</c:v>
                </c:pt>
                <c:pt idx="4">
                  <c:v>30%</c:v>
                </c:pt>
                <c:pt idx="5">
                  <c:v>35%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55%</c:v>
                </c:pt>
                <c:pt idx="10">
                  <c:v>60%</c:v>
                </c:pt>
              </c:strCache>
            </c:strRef>
          </c:cat>
          <c:val>
            <c:numRef>
              <c:f>Sensitivity!$C$24:$C$34</c:f>
              <c:numCache>
                <c:formatCode>0.0</c:formatCode>
                <c:ptCount val="11"/>
                <c:pt idx="0">
                  <c:v>24.2337610258342</c:v>
                </c:pt>
                <c:pt idx="1">
                  <c:v>25.6076306707404</c:v>
                </c:pt>
                <c:pt idx="2">
                  <c:v>26.9815003156467</c:v>
                </c:pt>
                <c:pt idx="3">
                  <c:v>28.3553699605529</c:v>
                </c:pt>
                <c:pt idx="4">
                  <c:v>29.7292396054591</c:v>
                </c:pt>
                <c:pt idx="5">
                  <c:v>31.1031092503653</c:v>
                </c:pt>
                <c:pt idx="6">
                  <c:v>32.4769788952716</c:v>
                </c:pt>
                <c:pt idx="7">
                  <c:v>33.8508485401778</c:v>
                </c:pt>
                <c:pt idx="8">
                  <c:v>35.224718185084</c:v>
                </c:pt>
                <c:pt idx="9">
                  <c:v>36.5985878299903</c:v>
                </c:pt>
                <c:pt idx="10">
                  <c:v>37.9724574748965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Sensitivity!D23</c:f>
              <c:strCache>
                <c:ptCount val="1"/>
                <c:pt idx="0">
                  <c:v>Phoenix, AZ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Sensitivity!$A$24:$A$34</c:f>
              <c:strCache>
                <c:ptCount val="11"/>
                <c:pt idx="0">
                  <c:v>10%</c:v>
                </c:pt>
                <c:pt idx="1">
                  <c:v>15%</c:v>
                </c:pt>
                <c:pt idx="2">
                  <c:v>20%</c:v>
                </c:pt>
                <c:pt idx="3">
                  <c:v>25%</c:v>
                </c:pt>
                <c:pt idx="4">
                  <c:v>30%</c:v>
                </c:pt>
                <c:pt idx="5">
                  <c:v>35%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55%</c:v>
                </c:pt>
                <c:pt idx="10">
                  <c:v>60%</c:v>
                </c:pt>
              </c:strCache>
            </c:strRef>
          </c:cat>
          <c:val>
            <c:numRef>
              <c:f>Sensitivity!$D$24:$D$34</c:f>
              <c:numCache>
                <c:formatCode>0.0</c:formatCode>
                <c:ptCount val="11"/>
                <c:pt idx="0">
                  <c:v>40.8818801517549</c:v>
                </c:pt>
                <c:pt idx="1">
                  <c:v>40.9463691948146</c:v>
                </c:pt>
                <c:pt idx="2">
                  <c:v>41.0108582378743</c:v>
                </c:pt>
                <c:pt idx="3">
                  <c:v>41.075347280934</c:v>
                </c:pt>
                <c:pt idx="4">
                  <c:v>41.1398363239937</c:v>
                </c:pt>
                <c:pt idx="5">
                  <c:v>41.2043253670533</c:v>
                </c:pt>
                <c:pt idx="6">
                  <c:v>41.268814410113</c:v>
                </c:pt>
                <c:pt idx="7">
                  <c:v>41.3333034531727</c:v>
                </c:pt>
                <c:pt idx="8">
                  <c:v>41.3977924962324</c:v>
                </c:pt>
                <c:pt idx="9">
                  <c:v>41.4622815392921</c:v>
                </c:pt>
                <c:pt idx="10">
                  <c:v>41.5267705823518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Sensitivity!E23</c:f>
              <c:strCache>
                <c:ptCount val="1"/>
                <c:pt idx="0">
                  <c:v>Northern Virginia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Sensitivity!$A$24:$A$34</c:f>
              <c:strCache>
                <c:ptCount val="11"/>
                <c:pt idx="0">
                  <c:v>10%</c:v>
                </c:pt>
                <c:pt idx="1">
                  <c:v>15%</c:v>
                </c:pt>
                <c:pt idx="2">
                  <c:v>20%</c:v>
                </c:pt>
                <c:pt idx="3">
                  <c:v>25%</c:v>
                </c:pt>
                <c:pt idx="4">
                  <c:v>30%</c:v>
                </c:pt>
                <c:pt idx="5">
                  <c:v>35%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55%</c:v>
                </c:pt>
                <c:pt idx="10">
                  <c:v>60%</c:v>
                </c:pt>
              </c:strCache>
            </c:strRef>
          </c:cat>
          <c:val>
            <c:numRef>
              <c:f>Sensitivity!$E$24:$E$34</c:f>
              <c:numCache>
                <c:formatCode>0.0</c:formatCode>
                <c:ptCount val="11"/>
                <c:pt idx="0">
                  <c:v>48.9899939456294</c:v>
                </c:pt>
                <c:pt idx="1">
                  <c:v>46.8933276153167</c:v>
                </c:pt>
                <c:pt idx="2">
                  <c:v>44.7966612850039</c:v>
                </c:pt>
                <c:pt idx="3">
                  <c:v>42.6999949546912</c:v>
                </c:pt>
                <c:pt idx="4">
                  <c:v>40.6033286243784</c:v>
                </c:pt>
                <c:pt idx="5">
                  <c:v>38.5066622940657</c:v>
                </c:pt>
                <c:pt idx="6">
                  <c:v>36.4099959637529</c:v>
                </c:pt>
                <c:pt idx="7">
                  <c:v>34.3133296334402</c:v>
                </c:pt>
                <c:pt idx="8">
                  <c:v>32.2166633031275</c:v>
                </c:pt>
                <c:pt idx="9">
                  <c:v>30.1199969728147</c:v>
                </c:pt>
                <c:pt idx="10">
                  <c:v>28.023330642502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Sensitivity!F23</c:f>
              <c:strCache>
                <c:ptCount val="1"/>
                <c:pt idx="0">
                  <c:v>Dallas-Fort Worth, TX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Sensitivity!$A$24:$A$34</c:f>
              <c:strCache>
                <c:ptCount val="11"/>
                <c:pt idx="0">
                  <c:v>10%</c:v>
                </c:pt>
                <c:pt idx="1">
                  <c:v>15%</c:v>
                </c:pt>
                <c:pt idx="2">
                  <c:v>20%</c:v>
                </c:pt>
                <c:pt idx="3">
                  <c:v>25%</c:v>
                </c:pt>
                <c:pt idx="4">
                  <c:v>30%</c:v>
                </c:pt>
                <c:pt idx="5">
                  <c:v>35%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55%</c:v>
                </c:pt>
                <c:pt idx="10">
                  <c:v>60%</c:v>
                </c:pt>
              </c:strCache>
            </c:strRef>
          </c:cat>
          <c:val>
            <c:numRef>
              <c:f>Sensitivity!$F$24:$F$34</c:f>
              <c:numCache>
                <c:formatCode>0.0</c:formatCode>
                <c:ptCount val="11"/>
                <c:pt idx="0">
                  <c:v>70.0322978811964</c:v>
                </c:pt>
                <c:pt idx="1">
                  <c:v>70.6555035544633</c:v>
                </c:pt>
                <c:pt idx="2">
                  <c:v>71.2787092277301</c:v>
                </c:pt>
                <c:pt idx="3">
                  <c:v>71.901914900997</c:v>
                </c:pt>
                <c:pt idx="4">
                  <c:v>72.5251205742639</c:v>
                </c:pt>
                <c:pt idx="5">
                  <c:v>73.1483262475307</c:v>
                </c:pt>
                <c:pt idx="6">
                  <c:v>73.7715319207976</c:v>
                </c:pt>
                <c:pt idx="7">
                  <c:v>74.3947375940645</c:v>
                </c:pt>
                <c:pt idx="8">
                  <c:v>75.0179432673313</c:v>
                </c:pt>
                <c:pt idx="9">
                  <c:v>75.6411489405982</c:v>
                </c:pt>
                <c:pt idx="10">
                  <c:v>76.2643546138651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Sensitivity!G23</c:f>
              <c:strCache>
                <c:ptCount val="1"/>
                <c:pt idx="0">
                  <c:v>Columbus, OH</c:v>
                </c:pt>
              </c:strCache>
            </c:strRef>
          </c:tx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Sensitivity!$A$24:$A$34</c:f>
              <c:strCache>
                <c:ptCount val="11"/>
                <c:pt idx="0">
                  <c:v>10%</c:v>
                </c:pt>
                <c:pt idx="1">
                  <c:v>15%</c:v>
                </c:pt>
                <c:pt idx="2">
                  <c:v>20%</c:v>
                </c:pt>
                <c:pt idx="3">
                  <c:v>25%</c:v>
                </c:pt>
                <c:pt idx="4">
                  <c:v>30%</c:v>
                </c:pt>
                <c:pt idx="5">
                  <c:v>35%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55%</c:v>
                </c:pt>
                <c:pt idx="10">
                  <c:v>60%</c:v>
                </c:pt>
              </c:strCache>
            </c:strRef>
          </c:cat>
          <c:val>
            <c:numRef>
              <c:f>Sensitivity!$G$24:$G$34</c:f>
              <c:numCache>
                <c:formatCode>0.0</c:formatCode>
                <c:ptCount val="11"/>
                <c:pt idx="0">
                  <c:v>53.191398960539</c:v>
                </c:pt>
                <c:pt idx="1">
                  <c:v>51.7251423787205</c:v>
                </c:pt>
                <c:pt idx="2">
                  <c:v>50.2588857969019</c:v>
                </c:pt>
                <c:pt idx="3">
                  <c:v>48.7926292150833</c:v>
                </c:pt>
                <c:pt idx="4">
                  <c:v>47.3263726332648</c:v>
                </c:pt>
                <c:pt idx="5">
                  <c:v>45.8601160514462</c:v>
                </c:pt>
                <c:pt idx="6">
                  <c:v>44.3938594696277</c:v>
                </c:pt>
                <c:pt idx="7">
                  <c:v>42.9276028878091</c:v>
                </c:pt>
                <c:pt idx="8">
                  <c:v>41.4613463059905</c:v>
                </c:pt>
                <c:pt idx="9">
                  <c:v>39.995089724172</c:v>
                </c:pt>
                <c:pt idx="10">
                  <c:v>38.5288331423534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309097"/>
        <c:axId val="5996858"/>
      </c:lineChart>
      <c:catAx>
        <c:axId val="843090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 &amp; Grid weight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6858"/>
        <c:crosses val="autoZero"/>
        <c:auto val="1"/>
        <c:lblAlgn val="ctr"/>
        <c:lblOffset val="100"/>
        <c:noMultiLvlLbl val="0"/>
      </c:catAx>
      <c:valAx>
        <c:axId val="5996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Weighted 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090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5</xdr:row>
      <xdr:rowOff>160560</xdr:rowOff>
    </xdr:from>
    <xdr:to>
      <xdr:col>10</xdr:col>
      <xdr:colOff>330120</xdr:colOff>
      <xdr:row>20</xdr:row>
      <xdr:rowOff>182880</xdr:rowOff>
    </xdr:to>
    <xdr:graphicFrame>
      <xdr:nvGraphicFramePr>
        <xdr:cNvPr id="0" name="Chart 1"/>
        <xdr:cNvGraphicFramePr/>
      </xdr:nvGraphicFramePr>
      <xdr:xfrm>
        <a:off x="6625440" y="1143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20</xdr:row>
      <xdr:rowOff>160920</xdr:rowOff>
    </xdr:from>
    <xdr:to>
      <xdr:col>18</xdr:col>
      <xdr:colOff>547560</xdr:colOff>
      <xdr:row>36</xdr:row>
      <xdr:rowOff>142920</xdr:rowOff>
    </xdr:to>
    <xdr:graphicFrame>
      <xdr:nvGraphicFramePr>
        <xdr:cNvPr id="1" name="Chart 1"/>
        <xdr:cNvGraphicFramePr/>
      </xdr:nvGraphicFramePr>
      <xdr:xfrm>
        <a:off x="13321800" y="441972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7" min="3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</row>
    <row r="5" customFormat="false" ht="15" hidden="false" customHeight="false" outlineLevel="0" collapsed="false">
      <c r="A5" s="5" t="str">
        <f aca="false">"Top-ranked under '"&amp;C4&amp;"': "&amp;INDEX(Scoring!$C$4:$H$4,MATCH(1,Scoring!$C$34:$H$34,0))&amp;" ("&amp;TEXT(MAX(Scoring!$C$33:$H$33),"0.0")&amp;" / 100)"</f>
        <v>Top-ranked under 'Base': Dallas-Fort Worth, TX (72.5 / 100)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6" t="s">
        <v>5</v>
      </c>
      <c r="B8" s="6" t="s">
        <v>6</v>
      </c>
      <c r="C8" s="6" t="s">
        <v>7</v>
      </c>
    </row>
    <row r="9" customFormat="false" ht="15" hidden="false" customHeight="false" outlineLevel="0" collapsed="false">
      <c r="A9" s="7" t="s">
        <v>8</v>
      </c>
      <c r="B9" s="8" t="n">
        <f aca="false">Scoring!C33</f>
        <v>61.844744778323</v>
      </c>
      <c r="C9" s="9" t="n">
        <f aca="false">Scoring!C34</f>
        <v>2</v>
      </c>
    </row>
    <row r="10" customFormat="false" ht="15" hidden="false" customHeight="false" outlineLevel="0" collapsed="false">
      <c r="A10" s="7" t="s">
        <v>9</v>
      </c>
      <c r="B10" s="8" t="n">
        <f aca="false">Scoring!D33</f>
        <v>29.7292396054591</v>
      </c>
      <c r="C10" s="9" t="n">
        <f aca="false">Scoring!D34</f>
        <v>6</v>
      </c>
    </row>
    <row r="11" customFormat="false" ht="15" hidden="false" customHeight="false" outlineLevel="0" collapsed="false">
      <c r="A11" s="7" t="s">
        <v>10</v>
      </c>
      <c r="B11" s="8" t="n">
        <f aca="false">Scoring!E33</f>
        <v>41.1398363239937</v>
      </c>
      <c r="C11" s="9" t="n">
        <f aca="false">Scoring!E34</f>
        <v>4</v>
      </c>
    </row>
    <row r="12" customFormat="false" ht="15" hidden="false" customHeight="false" outlineLevel="0" collapsed="false">
      <c r="A12" s="7" t="s">
        <v>11</v>
      </c>
      <c r="B12" s="8" t="n">
        <f aca="false">Scoring!F33</f>
        <v>40.6033286243784</v>
      </c>
      <c r="C12" s="9" t="n">
        <f aca="false">Scoring!F34</f>
        <v>5</v>
      </c>
    </row>
    <row r="13" customFormat="false" ht="15" hidden="false" customHeight="false" outlineLevel="0" collapsed="false">
      <c r="A13" s="7" t="s">
        <v>12</v>
      </c>
      <c r="B13" s="8" t="n">
        <f aca="false">Scoring!G33</f>
        <v>72.5251205742639</v>
      </c>
      <c r="C13" s="9" t="n">
        <f aca="false">Scoring!G34</f>
        <v>1</v>
      </c>
    </row>
    <row r="14" customFormat="false" ht="15" hidden="false" customHeight="false" outlineLevel="0" collapsed="false">
      <c r="A14" s="7" t="s">
        <v>13</v>
      </c>
      <c r="B14" s="8" t="n">
        <f aca="false">Scoring!H33</f>
        <v>47.3263726332648</v>
      </c>
      <c r="C14" s="9" t="n">
        <f aca="false">Scoring!H34</f>
        <v>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6" t="s">
        <v>7</v>
      </c>
      <c r="B17" s="6" t="s">
        <v>5</v>
      </c>
      <c r="C17" s="6" t="s">
        <v>15</v>
      </c>
    </row>
    <row r="18" customFormat="false" ht="15" hidden="false" customHeight="false" outlineLevel="0" collapsed="false">
      <c r="A18" s="10" t="n">
        <v>1</v>
      </c>
      <c r="B18" s="7" t="str">
        <f aca="false">INDEX($A$9:$A$14,MATCH(A18,$C$9:$C$14,0))</f>
        <v>Dallas-Fort Worth, TX</v>
      </c>
      <c r="C18" s="11" t="n">
        <f aca="false">INDEX($B$9:$B$14,MATCH(A18,$C$9:$C$14,0))</f>
        <v>72.5251205742639</v>
      </c>
    </row>
    <row r="19" customFormat="false" ht="15" hidden="false" customHeight="false" outlineLevel="0" collapsed="false">
      <c r="A19" s="10" t="n">
        <v>2</v>
      </c>
      <c r="B19" s="7" t="str">
        <f aca="false">INDEX($A$9:$A$14,MATCH(A19,$C$9:$C$14,0))</f>
        <v>Seattle / Quincy, WA</v>
      </c>
      <c r="C19" s="11" t="n">
        <f aca="false">INDEX($B$9:$B$14,MATCH(A19,$C$9:$C$14,0))</f>
        <v>61.844744778323</v>
      </c>
    </row>
    <row r="20" customFormat="false" ht="15" hidden="false" customHeight="false" outlineLevel="0" collapsed="false">
      <c r="A20" s="10" t="n">
        <v>3</v>
      </c>
      <c r="B20" s="7" t="str">
        <f aca="false">INDEX($A$9:$A$14,MATCH(A20,$C$9:$C$14,0))</f>
        <v>Columbus, OH</v>
      </c>
      <c r="C20" s="11" t="n">
        <f aca="false">INDEX($B$9:$B$14,MATCH(A20,$C$9:$C$14,0))</f>
        <v>47.3263726332648</v>
      </c>
    </row>
    <row r="21" customFormat="false" ht="15" hidden="false" customHeight="false" outlineLevel="0" collapsed="false">
      <c r="A21" s="10" t="n">
        <v>4</v>
      </c>
      <c r="B21" s="7" t="str">
        <f aca="false">INDEX($A$9:$A$14,MATCH(A21,$C$9:$C$14,0))</f>
        <v>Phoenix, AZ</v>
      </c>
      <c r="C21" s="11" t="n">
        <f aca="false">INDEX($B$9:$B$14,MATCH(A21,$C$9:$C$14,0))</f>
        <v>41.1398363239937</v>
      </c>
    </row>
    <row r="22" customFormat="false" ht="15" hidden="false" customHeight="false" outlineLevel="0" collapsed="false">
      <c r="A22" s="10" t="n">
        <v>5</v>
      </c>
      <c r="B22" s="7" t="str">
        <f aca="false">INDEX($A$9:$A$14,MATCH(A22,$C$9:$C$14,0))</f>
        <v>Northern Virginia</v>
      </c>
      <c r="C22" s="11" t="n">
        <f aca="false">INDEX($B$9:$B$14,MATCH(A22,$C$9:$C$14,0))</f>
        <v>40.6033286243784</v>
      </c>
    </row>
    <row r="23" customFormat="false" ht="15" hidden="false" customHeight="false" outlineLevel="0" collapsed="false">
      <c r="A23" s="10" t="n">
        <v>6</v>
      </c>
      <c r="B23" s="7" t="str">
        <f aca="false">INDEX($A$9:$A$14,MATCH(A23,$C$9:$C$14,0))</f>
        <v>Hillsboro / Portland, OR</v>
      </c>
      <c r="C23" s="11" t="n">
        <f aca="false">INDEX($B$9:$B$14,MATCH(A23,$C$9:$C$14,0))</f>
        <v>29.7292396054591</v>
      </c>
    </row>
    <row r="26" customFormat="false" ht="15" hidden="false" customHeight="false" outlineLevel="0" collapsed="false">
      <c r="A26" s="3" t="s">
        <v>16</v>
      </c>
    </row>
    <row r="27" customFormat="false" ht="31.5" hidden="false" customHeight="true" outlineLevel="0" collapsed="false">
      <c r="A27" s="6" t="s">
        <v>17</v>
      </c>
      <c r="B27" s="6" t="s">
        <v>8</v>
      </c>
      <c r="C27" s="6" t="s">
        <v>9</v>
      </c>
      <c r="D27" s="6" t="s">
        <v>10</v>
      </c>
      <c r="E27" s="6" t="s">
        <v>11</v>
      </c>
      <c r="F27" s="6" t="s">
        <v>12</v>
      </c>
      <c r="G27" s="6" t="s">
        <v>13</v>
      </c>
    </row>
    <row r="28" customFormat="false" ht="15" hidden="false" customHeight="false" outlineLevel="0" collapsed="false">
      <c r="A28" s="12" t="str">
        <f aca="false">Weights!B5</f>
        <v>Power &amp; Grid</v>
      </c>
      <c r="B28" s="13" t="n">
        <f aca="false">Scoring!C25</f>
        <v>77.7743902439024</v>
      </c>
      <c r="C28" s="13" t="n">
        <f aca="false">Scoring!D25</f>
        <v>48.9634146341463</v>
      </c>
      <c r="D28" s="13" t="n">
        <f aca="false">Scoring!E25</f>
        <v>42.0426829268293</v>
      </c>
      <c r="E28" s="13" t="n">
        <f aca="false">Scoring!F25</f>
        <v>11.25</v>
      </c>
      <c r="F28" s="13" t="n">
        <f aca="false">Scoring!G25</f>
        <v>81.25</v>
      </c>
      <c r="G28" s="13" t="n">
        <f aca="false">Scoring!H25</f>
        <v>26.7987804878049</v>
      </c>
    </row>
    <row r="29" customFormat="false" ht="15" hidden="false" customHeight="false" outlineLevel="0" collapsed="false">
      <c r="A29" s="12" t="str">
        <f aca="false">Weights!B6</f>
        <v>Market &amp; Pricing</v>
      </c>
      <c r="B29" s="13" t="n">
        <f aca="false">Scoring!C26</f>
        <v>80.018261329914</v>
      </c>
      <c r="C29" s="13" t="n">
        <f aca="false">Scoring!D26</f>
        <v>7.07607607607608</v>
      </c>
      <c r="D29" s="13" t="n">
        <f aca="false">Scoring!E26</f>
        <v>60.756569068781</v>
      </c>
      <c r="E29" s="13" t="n">
        <f aca="false">Scoring!F26</f>
        <v>35.1614047382485</v>
      </c>
      <c r="F29" s="13" t="n">
        <f aca="false">Scoring!G26</f>
        <v>78.9616123380988</v>
      </c>
      <c r="G29" s="13" t="n">
        <f aca="false">Scoring!H26</f>
        <v>58.6211924346166</v>
      </c>
    </row>
    <row r="30" customFormat="false" ht="15" hidden="false" customHeight="false" outlineLevel="0" collapsed="false">
      <c r="A30" s="12" t="str">
        <f aca="false">Weights!B7</f>
        <v>Network &amp; Latency</v>
      </c>
      <c r="B30" s="13" t="n">
        <f aca="false">Scoring!C27</f>
        <v>29.7606286597455</v>
      </c>
      <c r="C30" s="13" t="n">
        <f aca="false">Scoring!D27</f>
        <v>37.5</v>
      </c>
      <c r="D30" s="13" t="n">
        <f aca="false">Scoring!E27</f>
        <v>48.9643136015723</v>
      </c>
      <c r="E30" s="13" t="n">
        <f aca="false">Scoring!F27</f>
        <v>97.4670639727395</v>
      </c>
      <c r="F30" s="13" t="n">
        <f aca="false">Scoring!G27</f>
        <v>82.1483175553674</v>
      </c>
      <c r="G30" s="13" t="n">
        <f aca="false">Scoring!H27</f>
        <v>75</v>
      </c>
    </row>
    <row r="31" customFormat="false" ht="15" hidden="false" customHeight="false" outlineLevel="0" collapsed="false">
      <c r="A31" s="12" t="str">
        <f aca="false">Weights!B8</f>
        <v>Risk &amp; Resilience</v>
      </c>
      <c r="B31" s="13" t="n">
        <f aca="false">Scoring!C28</f>
        <v>66.25</v>
      </c>
      <c r="C31" s="13" t="n">
        <f aca="false">Scoring!D28</f>
        <v>40</v>
      </c>
      <c r="D31" s="13" t="n">
        <f aca="false">Scoring!E28</f>
        <v>17.5</v>
      </c>
      <c r="E31" s="13" t="n">
        <f aca="false">Scoring!F28</f>
        <v>50</v>
      </c>
      <c r="F31" s="13" t="n">
        <f aca="false">Scoring!G28</f>
        <v>32.5</v>
      </c>
      <c r="G31" s="13" t="n">
        <f aca="false">Scoring!H28</f>
        <v>73.75</v>
      </c>
    </row>
    <row r="32" customFormat="false" ht="15" hidden="false" customHeight="false" outlineLevel="0" collapsed="false">
      <c r="A32" s="12" t="str">
        <f aca="false">Weights!B9</f>
        <v>Policy &amp; Incentives</v>
      </c>
      <c r="B32" s="13" t="n">
        <f aca="false">Scoring!C29</f>
        <v>50</v>
      </c>
      <c r="C32" s="13" t="n">
        <f aca="false">Scoring!D29</f>
        <v>0</v>
      </c>
      <c r="D32" s="13" t="n">
        <f aca="false">Scoring!E29</f>
        <v>0</v>
      </c>
      <c r="E32" s="13" t="n">
        <f aca="false">Scoring!F29</f>
        <v>75</v>
      </c>
      <c r="F32" s="13" t="n">
        <f aca="false">Scoring!G29</f>
        <v>75</v>
      </c>
      <c r="G32" s="13" t="n">
        <f aca="false">Scoring!H29</f>
        <v>0</v>
      </c>
    </row>
    <row r="33" customFormat="false" ht="15" hidden="false" customHeight="false" outlineLevel="0" collapsed="false">
      <c r="A33" s="12" t="str">
        <f aca="false">Weights!B10</f>
        <v>Build &amp; Operations</v>
      </c>
      <c r="B33" s="13" t="n">
        <f aca="false">Scoring!C30</f>
        <v>50</v>
      </c>
      <c r="C33" s="13" t="n">
        <f aca="false">Scoring!D30</f>
        <v>62.5</v>
      </c>
      <c r="D33" s="13" t="n">
        <f aca="false">Scoring!E30</f>
        <v>37.5</v>
      </c>
      <c r="E33" s="13" t="n">
        <f aca="false">Scoring!F30</f>
        <v>50</v>
      </c>
      <c r="F33" s="13" t="n">
        <f aca="false">Scoring!G30</f>
        <v>62.5</v>
      </c>
      <c r="G33" s="13" t="n">
        <f aca="false">Scoring!H30</f>
        <v>50</v>
      </c>
    </row>
    <row r="34" customFormat="false" ht="15" hidden="false" customHeight="false" outlineLevel="0" collapsed="false">
      <c r="A34" s="12" t="str">
        <f aca="false">Weights!B11</f>
        <v>Growth Headroom</v>
      </c>
      <c r="B34" s="13" t="n">
        <f aca="false">Scoring!C31</f>
        <v>25</v>
      </c>
      <c r="C34" s="13" t="n">
        <f aca="false">Scoring!D31</f>
        <v>0</v>
      </c>
      <c r="D34" s="13" t="n">
        <f aca="false">Scoring!E31</f>
        <v>60</v>
      </c>
      <c r="E34" s="13" t="n">
        <f aca="false">Scoring!F31</f>
        <v>25</v>
      </c>
      <c r="F34" s="13" t="n">
        <f aca="false">Scoring!G31</f>
        <v>85</v>
      </c>
      <c r="G34" s="13" t="n">
        <f aca="false">Scoring!H31</f>
        <v>50</v>
      </c>
    </row>
    <row r="36" customFormat="false" ht="15" hidden="false" customHeight="false" outlineLevel="0" collapsed="false">
      <c r="A36" s="3" t="s">
        <v>18</v>
      </c>
    </row>
    <row r="37" customFormat="false" ht="15" hidden="false" customHeight="false" outlineLevel="0" collapsed="false">
      <c r="A37" s="14" t="str">
        <f aca="false">"Share of selected-scenario weight resting on analyst scores or estimates (not sourced figures): "&amp;TEXT(SUMPRODUCT(Data!Q5:Q22,Weights!L16:L33),"0%")</f>
        <v>Share of selected-scenario weight resting on analyst scores or estimates (not sourced figures): 49%</v>
      </c>
    </row>
    <row r="38" customFormat="false" ht="15" hidden="false" customHeight="false" outlineLevel="0" collapsed="false">
      <c r="A38" s="14" t="str">
        <f aca="false">"Weights check: "&amp;IF(ABS(INDEX(Weights!C12:I12,MATCH(C4,Weights!C4:I4,0))-1)&lt;0.00001,"selected scenario totals 100%","selected scenario does NOT total 100%")</f>
        <v>Weights check: selected scenario totals 100%</v>
      </c>
    </row>
    <row r="40" customFormat="false" ht="15" hidden="false" customHeight="false" outlineLevel="0" collapsed="false">
      <c r="A40" s="3" t="s">
        <v>19</v>
      </c>
    </row>
    <row r="41" customFormat="false" ht="30" hidden="false" customHeight="true" outlineLevel="0" collapsed="false">
      <c r="A41" s="15" t="s">
        <v>20</v>
      </c>
      <c r="B41" s="15"/>
      <c r="C41" s="15"/>
      <c r="D41" s="15"/>
      <c r="E41" s="15"/>
      <c r="F41" s="15"/>
      <c r="G41" s="15"/>
    </row>
    <row r="42" customFormat="false" ht="30" hidden="false" customHeight="true" outlineLevel="0" collapsed="false">
      <c r="A42" s="15" t="s">
        <v>21</v>
      </c>
      <c r="B42" s="15"/>
      <c r="C42" s="15"/>
      <c r="D42" s="15"/>
      <c r="E42" s="15"/>
      <c r="F42" s="15"/>
      <c r="G42" s="15"/>
    </row>
    <row r="43" customFormat="false" ht="30" hidden="false" customHeight="true" outlineLevel="0" collapsed="false">
      <c r="A43" s="15" t="s">
        <v>22</v>
      </c>
      <c r="B43" s="15"/>
      <c r="C43" s="15"/>
      <c r="D43" s="15"/>
      <c r="E43" s="15"/>
      <c r="F43" s="15"/>
      <c r="G43" s="15"/>
    </row>
    <row r="44" customFormat="false" ht="30" hidden="false" customHeight="true" outlineLevel="0" collapsed="false">
      <c r="A44" s="15" t="s">
        <v>23</v>
      </c>
      <c r="B44" s="15"/>
      <c r="C44" s="15"/>
      <c r="D44" s="15"/>
      <c r="E44" s="15"/>
      <c r="F44" s="15"/>
      <c r="G44" s="15"/>
    </row>
    <row r="45" customFormat="false" ht="30" hidden="false" customHeight="true" outlineLevel="0" collapsed="false">
      <c r="A45" s="15" t="s">
        <v>24</v>
      </c>
      <c r="B45" s="15"/>
      <c r="C45" s="15"/>
      <c r="D45" s="15"/>
      <c r="E45" s="15"/>
      <c r="F45" s="15"/>
      <c r="G45" s="15"/>
    </row>
  </sheetData>
  <mergeCells count="5">
    <mergeCell ref="A41:G41"/>
    <mergeCell ref="A42:G42"/>
    <mergeCell ref="A43:G43"/>
    <mergeCell ref="A44:G44"/>
    <mergeCell ref="A45:G45"/>
  </mergeCells>
  <conditionalFormatting sqref="B28:G34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dataValidations count="1">
    <dataValidation allowBlank="false" errorStyle="stop" operator="between" showDropDown="false" showErrorMessage="false" showInputMessage="false" sqref="C4" type="list">
      <formula1>Weights!$C$4:$I$4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13" min="8" style="0" width="14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80"/>
    <col collapsed="false" customWidth="true" hidden="false" outlineLevel="0" max="17" min="17" style="0" width="10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42" hidden="false" customHeight="true" outlineLevel="0" collapsed="false">
      <c r="A4" s="6" t="s">
        <v>27</v>
      </c>
      <c r="B4" s="6" t="s">
        <v>17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33</v>
      </c>
      <c r="O4" s="6" t="s">
        <v>34</v>
      </c>
      <c r="P4" s="6" t="s">
        <v>35</v>
      </c>
      <c r="Q4" s="6" t="s">
        <v>36</v>
      </c>
    </row>
    <row r="5" customFormat="false" ht="91.5" hidden="false" customHeight="true" outlineLevel="0" collapsed="false">
      <c r="A5" s="16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 t="n">
        <v>6.61</v>
      </c>
      <c r="I5" s="17" t="n">
        <v>8.05</v>
      </c>
      <c r="J5" s="17" t="n">
        <v>7.9</v>
      </c>
      <c r="K5" s="17" t="n">
        <v>8.99</v>
      </c>
      <c r="L5" s="17" t="n">
        <v>6.12</v>
      </c>
      <c r="M5" s="17" t="n">
        <v>7.1</v>
      </c>
      <c r="N5" s="16" t="s">
        <v>44</v>
      </c>
      <c r="O5" s="16" t="s">
        <v>45</v>
      </c>
      <c r="P5" s="16" t="s">
        <v>46</v>
      </c>
      <c r="Q5" s="18" t="n">
        <v>0</v>
      </c>
    </row>
    <row r="6" customFormat="false" ht="91.5" hidden="false" customHeight="true" outlineLevel="0" collapsed="false">
      <c r="A6" s="16" t="s">
        <v>47</v>
      </c>
      <c r="B6" s="16" t="s">
        <v>38</v>
      </c>
      <c r="C6" s="16" t="s">
        <v>48</v>
      </c>
      <c r="D6" s="16" t="s">
        <v>49</v>
      </c>
      <c r="E6" s="16" t="s">
        <v>41</v>
      </c>
      <c r="F6" s="16" t="s">
        <v>42</v>
      </c>
      <c r="G6" s="16" t="s">
        <v>43</v>
      </c>
      <c r="H6" s="19" t="n">
        <v>48</v>
      </c>
      <c r="I6" s="19" t="n">
        <v>48</v>
      </c>
      <c r="J6" s="19" t="n">
        <v>60</v>
      </c>
      <c r="K6" s="19" t="n">
        <v>84</v>
      </c>
      <c r="L6" s="19" t="n">
        <v>36</v>
      </c>
      <c r="M6" s="19" t="n">
        <v>84</v>
      </c>
      <c r="N6" s="16" t="s">
        <v>50</v>
      </c>
      <c r="O6" s="16" t="s">
        <v>51</v>
      </c>
      <c r="P6" s="16" t="s">
        <v>52</v>
      </c>
      <c r="Q6" s="18" t="n">
        <v>0.33</v>
      </c>
    </row>
    <row r="7" customFormat="false" ht="91.5" hidden="false" customHeight="true" outlineLevel="0" collapsed="false">
      <c r="A7" s="16" t="s">
        <v>53</v>
      </c>
      <c r="B7" s="16" t="s">
        <v>38</v>
      </c>
      <c r="C7" s="16" t="s">
        <v>54</v>
      </c>
      <c r="D7" s="16" t="s">
        <v>55</v>
      </c>
      <c r="E7" s="16" t="s">
        <v>56</v>
      </c>
      <c r="F7" s="16" t="s">
        <v>42</v>
      </c>
      <c r="G7" s="16" t="s">
        <v>43</v>
      </c>
      <c r="H7" s="19" t="n">
        <v>3</v>
      </c>
      <c r="I7" s="19" t="n">
        <v>5</v>
      </c>
      <c r="J7" s="19" t="n">
        <v>4</v>
      </c>
      <c r="K7" s="19" t="n">
        <v>4</v>
      </c>
      <c r="L7" s="19" t="n">
        <v>4</v>
      </c>
      <c r="M7" s="19" t="n">
        <v>5</v>
      </c>
      <c r="N7" s="16" t="s">
        <v>57</v>
      </c>
      <c r="O7" s="16" t="s">
        <v>58</v>
      </c>
      <c r="P7" s="16" t="s">
        <v>59</v>
      </c>
      <c r="Q7" s="18" t="n">
        <v>1</v>
      </c>
    </row>
    <row r="8" customFormat="false" ht="91.5" hidden="false" customHeight="true" outlineLevel="0" collapsed="false">
      <c r="A8" s="16" t="s">
        <v>60</v>
      </c>
      <c r="B8" s="16" t="s">
        <v>38</v>
      </c>
      <c r="C8" s="16" t="s">
        <v>61</v>
      </c>
      <c r="D8" s="16" t="s">
        <v>55</v>
      </c>
      <c r="E8" s="16" t="s">
        <v>56</v>
      </c>
      <c r="F8" s="16" t="s">
        <v>62</v>
      </c>
      <c r="G8" s="16" t="s">
        <v>43</v>
      </c>
      <c r="H8" s="19" t="n">
        <v>5</v>
      </c>
      <c r="I8" s="19" t="n">
        <v>4</v>
      </c>
      <c r="J8" s="19" t="n">
        <v>3</v>
      </c>
      <c r="K8" s="19" t="n">
        <v>3</v>
      </c>
      <c r="L8" s="19" t="n">
        <v>3</v>
      </c>
      <c r="M8" s="19" t="n">
        <v>2</v>
      </c>
      <c r="N8" s="16" t="s">
        <v>57</v>
      </c>
      <c r="O8" s="16" t="s">
        <v>63</v>
      </c>
      <c r="P8" s="16" t="s">
        <v>64</v>
      </c>
      <c r="Q8" s="18" t="n">
        <v>1</v>
      </c>
    </row>
    <row r="9" customFormat="false" ht="91.5" hidden="false" customHeight="true" outlineLevel="0" collapsed="false">
      <c r="A9" s="16" t="s">
        <v>65</v>
      </c>
      <c r="B9" s="16" t="s">
        <v>66</v>
      </c>
      <c r="C9" s="16" t="s">
        <v>67</v>
      </c>
      <c r="D9" s="16" t="s">
        <v>68</v>
      </c>
      <c r="E9" s="16" t="s">
        <v>41</v>
      </c>
      <c r="F9" s="16" t="s">
        <v>62</v>
      </c>
      <c r="G9" s="16" t="s">
        <v>43</v>
      </c>
      <c r="H9" s="17" t="n">
        <v>3.8</v>
      </c>
      <c r="I9" s="17" t="n">
        <v>0.21</v>
      </c>
      <c r="J9" s="17" t="n">
        <v>3</v>
      </c>
      <c r="K9" s="17" t="n">
        <v>0.24</v>
      </c>
      <c r="L9" s="17" t="n">
        <v>1.8</v>
      </c>
      <c r="M9" s="17" t="n">
        <v>0.1</v>
      </c>
      <c r="N9" s="16" t="s">
        <v>69</v>
      </c>
      <c r="O9" s="16" t="s">
        <v>70</v>
      </c>
      <c r="P9" s="16" t="s">
        <v>71</v>
      </c>
      <c r="Q9" s="18" t="n">
        <v>0</v>
      </c>
    </row>
    <row r="10" customFormat="false" ht="91.5" hidden="false" customHeight="true" outlineLevel="0" collapsed="false">
      <c r="A10" s="16" t="s">
        <v>72</v>
      </c>
      <c r="B10" s="16" t="s">
        <v>66</v>
      </c>
      <c r="C10" s="16" t="s">
        <v>73</v>
      </c>
      <c r="D10" s="16" t="s">
        <v>74</v>
      </c>
      <c r="E10" s="16" t="s">
        <v>41</v>
      </c>
      <c r="F10" s="16" t="s">
        <v>62</v>
      </c>
      <c r="G10" s="16" t="s">
        <v>75</v>
      </c>
      <c r="H10" s="20" t="n">
        <f aca="false">ROUND(H12*H9/100,1)</f>
        <v>28.2</v>
      </c>
      <c r="I10" s="21" t="n">
        <v>1</v>
      </c>
      <c r="J10" s="21" t="n">
        <v>31</v>
      </c>
      <c r="K10" s="21" t="n">
        <v>10.8</v>
      </c>
      <c r="L10" s="21" t="n">
        <v>39.6</v>
      </c>
      <c r="M10" s="20" t="n">
        <f aca="false">ROUND(M12*M9/100,1)</f>
        <v>3.5</v>
      </c>
      <c r="N10" s="16" t="s">
        <v>76</v>
      </c>
      <c r="O10" s="16" t="s">
        <v>77</v>
      </c>
      <c r="P10" s="16" t="s">
        <v>78</v>
      </c>
      <c r="Q10" s="18" t="n">
        <v>0</v>
      </c>
    </row>
    <row r="11" customFormat="false" ht="91.5" hidden="false" customHeight="true" outlineLevel="0" collapsed="false">
      <c r="A11" s="16" t="s">
        <v>79</v>
      </c>
      <c r="B11" s="16" t="s">
        <v>66</v>
      </c>
      <c r="C11" s="16" t="s">
        <v>80</v>
      </c>
      <c r="D11" s="16" t="s">
        <v>81</v>
      </c>
      <c r="E11" s="16" t="s">
        <v>41</v>
      </c>
      <c r="F11" s="16" t="s">
        <v>42</v>
      </c>
      <c r="G11" s="16" t="s">
        <v>43</v>
      </c>
      <c r="H11" s="22" t="n">
        <v>155</v>
      </c>
      <c r="I11" s="22" t="n">
        <v>200</v>
      </c>
      <c r="J11" s="22" t="n">
        <v>190</v>
      </c>
      <c r="K11" s="22" t="n">
        <v>212.5</v>
      </c>
      <c r="L11" s="22" t="n">
        <v>150</v>
      </c>
      <c r="M11" s="22" t="n">
        <v>145</v>
      </c>
      <c r="N11" s="16" t="s">
        <v>82</v>
      </c>
      <c r="O11" s="16" t="s">
        <v>83</v>
      </c>
      <c r="P11" s="16" t="s">
        <v>84</v>
      </c>
      <c r="Q11" s="18" t="n">
        <v>0.17</v>
      </c>
    </row>
    <row r="12" customFormat="false" ht="91.5" hidden="false" customHeight="true" outlineLevel="0" collapsed="false">
      <c r="A12" s="16" t="s">
        <v>85</v>
      </c>
      <c r="B12" s="16" t="s">
        <v>66</v>
      </c>
      <c r="C12" s="16" t="s">
        <v>86</v>
      </c>
      <c r="D12" s="16" t="s">
        <v>74</v>
      </c>
      <c r="E12" s="16" t="s">
        <v>41</v>
      </c>
      <c r="F12" s="16" t="s">
        <v>62</v>
      </c>
      <c r="G12" s="16" t="s">
        <v>75</v>
      </c>
      <c r="H12" s="21" t="n">
        <v>742</v>
      </c>
      <c r="I12" s="21" t="n">
        <v>475.4</v>
      </c>
      <c r="J12" s="21" t="n">
        <v>1069.2</v>
      </c>
      <c r="K12" s="21" t="n">
        <v>4496.5</v>
      </c>
      <c r="L12" s="21" t="n">
        <v>1432.8</v>
      </c>
      <c r="M12" s="21" t="n">
        <v>3541</v>
      </c>
      <c r="N12" s="16" t="s">
        <v>87</v>
      </c>
      <c r="O12" s="16" t="s">
        <v>88</v>
      </c>
      <c r="P12" s="16" t="s">
        <v>89</v>
      </c>
      <c r="Q12" s="18" t="n">
        <v>0</v>
      </c>
    </row>
    <row r="13" customFormat="false" ht="91.5" hidden="false" customHeight="true" outlineLevel="0" collapsed="false">
      <c r="A13" s="16" t="s">
        <v>90</v>
      </c>
      <c r="B13" s="16" t="s">
        <v>91</v>
      </c>
      <c r="C13" s="16" t="s">
        <v>92</v>
      </c>
      <c r="D13" s="16" t="s">
        <v>55</v>
      </c>
      <c r="E13" s="16" t="s">
        <v>56</v>
      </c>
      <c r="F13" s="16" t="s">
        <v>62</v>
      </c>
      <c r="G13" s="16" t="s">
        <v>43</v>
      </c>
      <c r="H13" s="19" t="n">
        <v>3</v>
      </c>
      <c r="I13" s="19" t="n">
        <v>4</v>
      </c>
      <c r="J13" s="19" t="n">
        <v>3</v>
      </c>
      <c r="K13" s="19" t="n">
        <v>5</v>
      </c>
      <c r="L13" s="19" t="n">
        <v>4</v>
      </c>
      <c r="M13" s="19" t="n">
        <v>3</v>
      </c>
      <c r="N13" s="16" t="s">
        <v>57</v>
      </c>
      <c r="O13" s="16" t="s">
        <v>93</v>
      </c>
      <c r="P13" s="16" t="s">
        <v>94</v>
      </c>
      <c r="Q13" s="18" t="n">
        <v>1</v>
      </c>
    </row>
    <row r="14" customFormat="false" ht="91.5" hidden="false" customHeight="true" outlineLevel="0" collapsed="false">
      <c r="A14" s="16" t="s">
        <v>95</v>
      </c>
      <c r="B14" s="16" t="s">
        <v>91</v>
      </c>
      <c r="C14" s="16" t="s">
        <v>96</v>
      </c>
      <c r="D14" s="16" t="s">
        <v>97</v>
      </c>
      <c r="E14" s="16" t="s">
        <v>41</v>
      </c>
      <c r="F14" s="16" t="s">
        <v>42</v>
      </c>
      <c r="G14" s="16" t="s">
        <v>43</v>
      </c>
      <c r="H14" s="23" t="n">
        <f aca="false">Latency!F31</f>
        <v>41.8697011540024</v>
      </c>
      <c r="I14" s="23" t="n">
        <f aca="false">Latency!G31</f>
        <v>43.8843830568976</v>
      </c>
      <c r="J14" s="23" t="n">
        <f aca="false">Latency!H31</f>
        <v>33.7427668168748</v>
      </c>
      <c r="K14" s="23" t="n">
        <f aca="false">Latency!I31</f>
        <v>23.7964825705447</v>
      </c>
      <c r="L14" s="23" t="n">
        <f aca="false">Latency!J31</f>
        <v>24.9893664944578</v>
      </c>
      <c r="M14" s="23" t="n">
        <f aca="false">Latency!K31</f>
        <v>22.7245526343867</v>
      </c>
      <c r="N14" s="16" t="s">
        <v>98</v>
      </c>
      <c r="O14" s="16" t="s">
        <v>99</v>
      </c>
      <c r="P14" s="16" t="s">
        <v>100</v>
      </c>
      <c r="Q14" s="18" t="n">
        <v>0.5</v>
      </c>
    </row>
    <row r="15" customFormat="false" ht="91.5" hidden="false" customHeight="true" outlineLevel="0" collapsed="false">
      <c r="A15" s="16" t="s">
        <v>101</v>
      </c>
      <c r="B15" s="16" t="s">
        <v>102</v>
      </c>
      <c r="C15" s="16" t="s">
        <v>103</v>
      </c>
      <c r="D15" s="16" t="s">
        <v>55</v>
      </c>
      <c r="E15" s="16" t="s">
        <v>56</v>
      </c>
      <c r="F15" s="16" t="s">
        <v>42</v>
      </c>
      <c r="G15" s="16" t="s">
        <v>43</v>
      </c>
      <c r="H15" s="19" t="n">
        <v>2</v>
      </c>
      <c r="I15" s="19" t="n">
        <v>3</v>
      </c>
      <c r="J15" s="19" t="n">
        <v>5</v>
      </c>
      <c r="K15" s="19" t="n">
        <v>2</v>
      </c>
      <c r="L15" s="19" t="n">
        <v>5</v>
      </c>
      <c r="M15" s="19" t="n">
        <v>2</v>
      </c>
      <c r="N15" s="16" t="s">
        <v>104</v>
      </c>
      <c r="O15" s="16" t="s">
        <v>105</v>
      </c>
      <c r="P15" s="16" t="s">
        <v>106</v>
      </c>
      <c r="Q15" s="18" t="n">
        <v>0.67</v>
      </c>
    </row>
    <row r="16" customFormat="false" ht="91.5" hidden="false" customHeight="true" outlineLevel="0" collapsed="false">
      <c r="A16" s="16" t="s">
        <v>107</v>
      </c>
      <c r="B16" s="16" t="s">
        <v>102</v>
      </c>
      <c r="C16" s="16" t="s">
        <v>108</v>
      </c>
      <c r="D16" s="16" t="s">
        <v>55</v>
      </c>
      <c r="E16" s="16" t="s">
        <v>56</v>
      </c>
      <c r="F16" s="16" t="s">
        <v>42</v>
      </c>
      <c r="G16" s="16" t="s">
        <v>43</v>
      </c>
      <c r="H16" s="19" t="n">
        <v>2</v>
      </c>
      <c r="I16" s="19" t="n">
        <v>2</v>
      </c>
      <c r="J16" s="19" t="n">
        <v>5</v>
      </c>
      <c r="K16" s="19" t="n">
        <v>3</v>
      </c>
      <c r="L16" s="19" t="n">
        <v>3</v>
      </c>
      <c r="M16" s="19" t="n">
        <v>1</v>
      </c>
      <c r="N16" s="16" t="s">
        <v>109</v>
      </c>
      <c r="O16" s="16" t="s">
        <v>110</v>
      </c>
      <c r="P16" s="16" t="s">
        <v>111</v>
      </c>
      <c r="Q16" s="18" t="n">
        <v>0.67</v>
      </c>
    </row>
    <row r="17" customFormat="false" ht="91.5" hidden="false" customHeight="true" outlineLevel="0" collapsed="false">
      <c r="A17" s="16" t="s">
        <v>112</v>
      </c>
      <c r="B17" s="16" t="s">
        <v>102</v>
      </c>
      <c r="C17" s="16" t="s">
        <v>113</v>
      </c>
      <c r="D17" s="16" t="s">
        <v>55</v>
      </c>
      <c r="E17" s="16" t="s">
        <v>56</v>
      </c>
      <c r="F17" s="16" t="s">
        <v>42</v>
      </c>
      <c r="G17" s="16" t="s">
        <v>43</v>
      </c>
      <c r="H17" s="19" t="n">
        <v>3</v>
      </c>
      <c r="I17" s="19" t="n">
        <v>5</v>
      </c>
      <c r="J17" s="19" t="n">
        <v>3</v>
      </c>
      <c r="K17" s="19" t="n">
        <v>4</v>
      </c>
      <c r="L17" s="19" t="n">
        <v>3</v>
      </c>
      <c r="M17" s="19" t="n">
        <v>3</v>
      </c>
      <c r="N17" s="16" t="s">
        <v>57</v>
      </c>
      <c r="O17" s="16" t="s">
        <v>114</v>
      </c>
      <c r="P17" s="16" t="s">
        <v>115</v>
      </c>
      <c r="Q17" s="18" t="n">
        <v>1</v>
      </c>
    </row>
    <row r="18" customFormat="false" ht="91.5" hidden="false" customHeight="true" outlineLevel="0" collapsed="false">
      <c r="A18" s="16" t="s">
        <v>116</v>
      </c>
      <c r="B18" s="16" t="s">
        <v>117</v>
      </c>
      <c r="C18" s="16" t="s">
        <v>118</v>
      </c>
      <c r="D18" s="16" t="s">
        <v>55</v>
      </c>
      <c r="E18" s="16" t="s">
        <v>56</v>
      </c>
      <c r="F18" s="16" t="s">
        <v>62</v>
      </c>
      <c r="G18" s="16" t="s">
        <v>43</v>
      </c>
      <c r="H18" s="19" t="n">
        <v>3</v>
      </c>
      <c r="I18" s="19" t="n">
        <v>1</v>
      </c>
      <c r="J18" s="19" t="n">
        <v>1</v>
      </c>
      <c r="K18" s="19" t="n">
        <v>4</v>
      </c>
      <c r="L18" s="19" t="n">
        <v>4</v>
      </c>
      <c r="M18" s="19" t="n">
        <v>1</v>
      </c>
      <c r="N18" s="16" t="s">
        <v>119</v>
      </c>
      <c r="O18" s="16" t="s">
        <v>120</v>
      </c>
      <c r="P18" s="16" t="s">
        <v>121</v>
      </c>
      <c r="Q18" s="18" t="n">
        <v>0</v>
      </c>
    </row>
    <row r="19" customFormat="false" ht="91.5" hidden="false" customHeight="true" outlineLevel="0" collapsed="false">
      <c r="A19" s="16" t="s">
        <v>122</v>
      </c>
      <c r="B19" s="16" t="s">
        <v>123</v>
      </c>
      <c r="C19" s="16" t="s">
        <v>124</v>
      </c>
      <c r="D19" s="16" t="s">
        <v>55</v>
      </c>
      <c r="E19" s="16" t="s">
        <v>56</v>
      </c>
      <c r="F19" s="16" t="s">
        <v>62</v>
      </c>
      <c r="G19" s="16" t="s">
        <v>43</v>
      </c>
      <c r="H19" s="19" t="n">
        <v>2</v>
      </c>
      <c r="I19" s="19" t="n">
        <v>3</v>
      </c>
      <c r="J19" s="19" t="n">
        <v>4</v>
      </c>
      <c r="K19" s="19" t="n">
        <v>3</v>
      </c>
      <c r="L19" s="19" t="n">
        <v>5</v>
      </c>
      <c r="M19" s="19" t="n">
        <v>3</v>
      </c>
      <c r="N19" s="16" t="s">
        <v>125</v>
      </c>
      <c r="O19" s="16" t="s">
        <v>126</v>
      </c>
      <c r="P19" s="16" t="s">
        <v>127</v>
      </c>
      <c r="Q19" s="18" t="n">
        <v>1</v>
      </c>
    </row>
    <row r="20" customFormat="false" ht="91.5" hidden="false" customHeight="true" outlineLevel="0" collapsed="false">
      <c r="A20" s="16" t="s">
        <v>128</v>
      </c>
      <c r="B20" s="16" t="s">
        <v>123</v>
      </c>
      <c r="C20" s="16" t="s">
        <v>129</v>
      </c>
      <c r="D20" s="16" t="s">
        <v>55</v>
      </c>
      <c r="E20" s="16" t="s">
        <v>56</v>
      </c>
      <c r="F20" s="16" t="s">
        <v>62</v>
      </c>
      <c r="G20" s="16" t="s">
        <v>43</v>
      </c>
      <c r="H20" s="19" t="n">
        <v>4</v>
      </c>
      <c r="I20" s="19" t="n">
        <v>4</v>
      </c>
      <c r="J20" s="19" t="n">
        <v>1</v>
      </c>
      <c r="K20" s="19" t="n">
        <v>3</v>
      </c>
      <c r="L20" s="19" t="n">
        <v>2</v>
      </c>
      <c r="M20" s="19" t="n">
        <v>3</v>
      </c>
      <c r="N20" s="16" t="s">
        <v>57</v>
      </c>
      <c r="O20" s="16" t="s">
        <v>130</v>
      </c>
      <c r="P20" s="16" t="s">
        <v>131</v>
      </c>
      <c r="Q20" s="18" t="n">
        <v>1</v>
      </c>
    </row>
    <row r="21" customFormat="false" ht="91.5" hidden="false" customHeight="true" outlineLevel="0" collapsed="false">
      <c r="A21" s="16" t="s">
        <v>132</v>
      </c>
      <c r="B21" s="16" t="s">
        <v>133</v>
      </c>
      <c r="C21" s="16" t="s">
        <v>134</v>
      </c>
      <c r="D21" s="16" t="s">
        <v>55</v>
      </c>
      <c r="E21" s="16" t="s">
        <v>56</v>
      </c>
      <c r="F21" s="16" t="s">
        <v>62</v>
      </c>
      <c r="G21" s="16" t="s">
        <v>43</v>
      </c>
      <c r="H21" s="19" t="n">
        <v>2</v>
      </c>
      <c r="I21" s="19" t="n">
        <v>1</v>
      </c>
      <c r="J21" s="19" t="n">
        <v>3</v>
      </c>
      <c r="K21" s="19" t="n">
        <v>2</v>
      </c>
      <c r="L21" s="19" t="n">
        <v>4</v>
      </c>
      <c r="M21" s="19" t="n">
        <v>3</v>
      </c>
      <c r="N21" s="16" t="s">
        <v>57</v>
      </c>
      <c r="O21" s="16" t="s">
        <v>135</v>
      </c>
      <c r="P21" s="16" t="s">
        <v>136</v>
      </c>
      <c r="Q21" s="18" t="n">
        <v>1</v>
      </c>
    </row>
    <row r="22" customFormat="false" ht="91.5" hidden="false" customHeight="true" outlineLevel="0" collapsed="false">
      <c r="A22" s="16" t="s">
        <v>137</v>
      </c>
      <c r="B22" s="16" t="s">
        <v>133</v>
      </c>
      <c r="C22" s="16" t="s">
        <v>138</v>
      </c>
      <c r="D22" s="16" t="s">
        <v>55</v>
      </c>
      <c r="E22" s="16" t="s">
        <v>56</v>
      </c>
      <c r="F22" s="16" t="s">
        <v>62</v>
      </c>
      <c r="G22" s="16" t="s">
        <v>43</v>
      </c>
      <c r="H22" s="19" t="n">
        <v>2</v>
      </c>
      <c r="I22" s="19" t="n">
        <v>1</v>
      </c>
      <c r="J22" s="19" t="n">
        <v>4</v>
      </c>
      <c r="K22" s="19" t="n">
        <v>2</v>
      </c>
      <c r="L22" s="19" t="n">
        <v>5</v>
      </c>
      <c r="M22" s="19" t="n">
        <v>3</v>
      </c>
      <c r="N22" s="16" t="s">
        <v>57</v>
      </c>
      <c r="O22" s="16" t="s">
        <v>139</v>
      </c>
      <c r="P22" s="16" t="s">
        <v>140</v>
      </c>
      <c r="Q22" s="18" t="n">
        <v>1</v>
      </c>
    </row>
    <row r="24" customFormat="false" ht="15" hidden="false" customHeight="false" outlineLevel="0" collapsed="false">
      <c r="A24" s="2" t="s">
        <v>141</v>
      </c>
    </row>
    <row r="25" customFormat="false" ht="15" hidden="false" customHeight="false" outlineLevel="0" collapsed="false">
      <c r="A25" s="2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22"/>
    <col collapsed="false" customWidth="true" hidden="false" outlineLevel="0" max="12" min="4" style="0" width="14"/>
  </cols>
  <sheetData>
    <row r="1" customFormat="false" ht="17.3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31.5" hidden="false" customHeight="true" outlineLevel="0" collapsed="false">
      <c r="A4" s="6" t="s">
        <v>145</v>
      </c>
      <c r="B4" s="6" t="s">
        <v>17</v>
      </c>
      <c r="C4" s="6" t="s">
        <v>3</v>
      </c>
      <c r="D4" s="6" t="s">
        <v>146</v>
      </c>
      <c r="E4" s="6" t="s">
        <v>147</v>
      </c>
      <c r="F4" s="6" t="s">
        <v>148</v>
      </c>
      <c r="G4" s="6" t="s">
        <v>149</v>
      </c>
      <c r="H4" s="6" t="s">
        <v>150</v>
      </c>
      <c r="I4" s="6" t="s">
        <v>151</v>
      </c>
      <c r="J4" s="6" t="s">
        <v>152</v>
      </c>
    </row>
    <row r="5" customFormat="false" ht="15" hidden="false" customHeight="false" outlineLevel="0" collapsed="false">
      <c r="A5" s="14" t="n">
        <v>1</v>
      </c>
      <c r="B5" s="3" t="s">
        <v>38</v>
      </c>
      <c r="C5" s="24" t="n">
        <v>0.3</v>
      </c>
      <c r="D5" s="24" t="n">
        <v>0.45</v>
      </c>
      <c r="E5" s="24" t="n">
        <v>0.2</v>
      </c>
      <c r="F5" s="24" t="n">
        <v>0.25</v>
      </c>
      <c r="G5" s="24" t="n">
        <v>0.22</v>
      </c>
      <c r="H5" s="24" t="n">
        <v>0.35</v>
      </c>
      <c r="I5" s="24" t="n">
        <v>0.3</v>
      </c>
      <c r="J5" s="25" t="n">
        <f aca="false">INDEX($C5:$I5,MATCH(Summary!$C$4,$C$4:$I$4,0))</f>
        <v>0.3</v>
      </c>
    </row>
    <row r="6" customFormat="false" ht="15" hidden="false" customHeight="false" outlineLevel="0" collapsed="false">
      <c r="A6" s="14" t="n">
        <v>2</v>
      </c>
      <c r="B6" s="3" t="s">
        <v>66</v>
      </c>
      <c r="C6" s="24" t="n">
        <v>0.2</v>
      </c>
      <c r="D6" s="24" t="n">
        <v>0.15</v>
      </c>
      <c r="E6" s="24" t="n">
        <v>0.15</v>
      </c>
      <c r="F6" s="24" t="n">
        <v>0.3</v>
      </c>
      <c r="G6" s="24" t="n">
        <v>0.12</v>
      </c>
      <c r="H6" s="24" t="n">
        <v>0.25</v>
      </c>
      <c r="I6" s="24" t="n">
        <v>0.2</v>
      </c>
      <c r="J6" s="25" t="n">
        <f aca="false">INDEX($C6:$I6,MATCH(Summary!$C$4,$C$4:$I$4,0))</f>
        <v>0.2</v>
      </c>
    </row>
    <row r="7" customFormat="false" ht="15" hidden="false" customHeight="false" outlineLevel="0" collapsed="false">
      <c r="A7" s="14" t="n">
        <v>3</v>
      </c>
      <c r="B7" s="3" t="s">
        <v>91</v>
      </c>
      <c r="C7" s="24" t="n">
        <v>0.12</v>
      </c>
      <c r="D7" s="24" t="n">
        <v>0.08</v>
      </c>
      <c r="E7" s="24" t="n">
        <v>0.3</v>
      </c>
      <c r="F7" s="24" t="n">
        <v>0.08</v>
      </c>
      <c r="G7" s="24" t="n">
        <v>0.08</v>
      </c>
      <c r="H7" s="24" t="n">
        <v>0.1</v>
      </c>
      <c r="I7" s="24" t="n">
        <v>0.12</v>
      </c>
      <c r="J7" s="25" t="n">
        <f aca="false">INDEX($C7:$I7,MATCH(Summary!$C$4,$C$4:$I$4,0))</f>
        <v>0.12</v>
      </c>
    </row>
    <row r="8" customFormat="false" ht="15" hidden="false" customHeight="false" outlineLevel="0" collapsed="false">
      <c r="A8" s="14" t="n">
        <v>4</v>
      </c>
      <c r="B8" s="3" t="s">
        <v>102</v>
      </c>
      <c r="C8" s="24" t="n">
        <v>0.15</v>
      </c>
      <c r="D8" s="24" t="n">
        <v>0.12</v>
      </c>
      <c r="E8" s="24" t="n">
        <v>0.12</v>
      </c>
      <c r="F8" s="24" t="n">
        <v>0.1</v>
      </c>
      <c r="G8" s="24" t="n">
        <v>0.28</v>
      </c>
      <c r="H8" s="24" t="n">
        <v>0.08</v>
      </c>
      <c r="I8" s="24" t="n">
        <v>0.15</v>
      </c>
      <c r="J8" s="25" t="n">
        <f aca="false">INDEX($C8:$I8,MATCH(Summary!$C$4,$C$4:$I$4,0))</f>
        <v>0.15</v>
      </c>
    </row>
    <row r="9" customFormat="false" ht="15" hidden="false" customHeight="false" outlineLevel="0" collapsed="false">
      <c r="A9" s="14" t="n">
        <v>5</v>
      </c>
      <c r="B9" s="3" t="s">
        <v>117</v>
      </c>
      <c r="C9" s="24" t="n">
        <v>0.08</v>
      </c>
      <c r="D9" s="24" t="n">
        <v>0.06</v>
      </c>
      <c r="E9" s="24" t="n">
        <v>0.06</v>
      </c>
      <c r="F9" s="24" t="n">
        <v>0.15</v>
      </c>
      <c r="G9" s="24" t="n">
        <v>0.18</v>
      </c>
      <c r="H9" s="24" t="n">
        <v>0.06</v>
      </c>
      <c r="I9" s="24" t="n">
        <v>0.08</v>
      </c>
      <c r="J9" s="25" t="n">
        <f aca="false">INDEX($C9:$I9,MATCH(Summary!$C$4,$C$4:$I$4,0))</f>
        <v>0.08</v>
      </c>
    </row>
    <row r="10" customFormat="false" ht="15" hidden="false" customHeight="false" outlineLevel="0" collapsed="false">
      <c r="A10" s="14" t="n">
        <v>6</v>
      </c>
      <c r="B10" s="3" t="s">
        <v>123</v>
      </c>
      <c r="C10" s="24" t="n">
        <v>0.05</v>
      </c>
      <c r="D10" s="24" t="n">
        <v>0.04</v>
      </c>
      <c r="E10" s="24" t="n">
        <v>0.05</v>
      </c>
      <c r="F10" s="24" t="n">
        <v>0.04</v>
      </c>
      <c r="G10" s="24" t="n">
        <v>0.04</v>
      </c>
      <c r="H10" s="24" t="n">
        <v>0.04</v>
      </c>
      <c r="I10" s="24" t="n">
        <v>0.05</v>
      </c>
      <c r="J10" s="25" t="n">
        <f aca="false">INDEX($C10:$I10,MATCH(Summary!$C$4,$C$4:$I$4,0))</f>
        <v>0.05</v>
      </c>
    </row>
    <row r="11" customFormat="false" ht="15" hidden="false" customHeight="false" outlineLevel="0" collapsed="false">
      <c r="A11" s="14" t="n">
        <v>7</v>
      </c>
      <c r="B11" s="3" t="s">
        <v>133</v>
      </c>
      <c r="C11" s="24" t="n">
        <v>0.1</v>
      </c>
      <c r="D11" s="24" t="n">
        <v>0.1</v>
      </c>
      <c r="E11" s="24" t="n">
        <v>0.12</v>
      </c>
      <c r="F11" s="24" t="n">
        <v>0.08</v>
      </c>
      <c r="G11" s="24" t="n">
        <v>0.08</v>
      </c>
      <c r="H11" s="24" t="n">
        <v>0.12</v>
      </c>
      <c r="I11" s="24" t="n">
        <v>0.1</v>
      </c>
      <c r="J11" s="25" t="n">
        <f aca="false">INDEX($C11:$I11,MATCH(Summary!$C$4,$C$4:$I$4,0))</f>
        <v>0.1</v>
      </c>
    </row>
    <row r="12" customFormat="false" ht="15" hidden="false" customHeight="false" outlineLevel="0" collapsed="false">
      <c r="B12" s="3" t="s">
        <v>153</v>
      </c>
      <c r="C12" s="26" t="n">
        <f aca="false">SUM(C5:C11)</f>
        <v>1</v>
      </c>
      <c r="D12" s="26" t="n">
        <f aca="false">SUM(D5:D11)</f>
        <v>1</v>
      </c>
      <c r="E12" s="26" t="n">
        <f aca="false">SUM(E5:E11)</f>
        <v>1</v>
      </c>
      <c r="F12" s="26" t="n">
        <f aca="false">SUM(F5:F11)</f>
        <v>1</v>
      </c>
      <c r="G12" s="26" t="n">
        <f aca="false">SUM(G5:G11)</f>
        <v>1</v>
      </c>
      <c r="H12" s="26" t="n">
        <f aca="false">SUM(H5:H11)</f>
        <v>1</v>
      </c>
      <c r="I12" s="26" t="n">
        <f aca="false">SUM(I5:I11)</f>
        <v>1</v>
      </c>
      <c r="J12" s="26" t="n">
        <f aca="false">SUM(J5:J11)</f>
        <v>1</v>
      </c>
    </row>
    <row r="13" customFormat="false" ht="15" hidden="false" customHeight="false" outlineLevel="0" collapsed="false">
      <c r="B13" s="14" t="s">
        <v>154</v>
      </c>
      <c r="C13" s="27" t="str">
        <f aca="false">IF(ABS(C12-1)&lt;0.00001,"OK","NOT 100%")</f>
        <v>OK</v>
      </c>
      <c r="D13" s="27" t="str">
        <f aca="false">IF(ABS(D12-1)&lt;0.00001,"OK","NOT 100%")</f>
        <v>OK</v>
      </c>
      <c r="E13" s="27" t="str">
        <f aca="false">IF(ABS(E12-1)&lt;0.00001,"OK","NOT 100%")</f>
        <v>OK</v>
      </c>
      <c r="F13" s="27" t="str">
        <f aca="false">IF(ABS(F12-1)&lt;0.00001,"OK","NOT 100%")</f>
        <v>OK</v>
      </c>
      <c r="G13" s="27" t="str">
        <f aca="false">IF(ABS(G12-1)&lt;0.00001,"OK","NOT 100%")</f>
        <v>OK</v>
      </c>
      <c r="H13" s="27" t="str">
        <f aca="false">IF(ABS(H12-1)&lt;0.00001,"OK","NOT 100%")</f>
        <v>OK</v>
      </c>
      <c r="I13" s="27" t="str">
        <f aca="false">IF(ABS(I12-1)&lt;0.00001,"OK","NOT 100%")</f>
        <v>OK</v>
      </c>
      <c r="J13" s="27" t="str">
        <f aca="false">IF(ABS(J12-1)&lt;0.00001,"OK","NOT 100%")</f>
        <v>OK</v>
      </c>
    </row>
    <row r="15" customFormat="false" ht="42" hidden="false" customHeight="true" outlineLevel="0" collapsed="false">
      <c r="A15" s="6" t="s">
        <v>27</v>
      </c>
      <c r="B15" s="6" t="s">
        <v>28</v>
      </c>
      <c r="C15" s="6" t="s">
        <v>17</v>
      </c>
      <c r="D15" s="6" t="s">
        <v>155</v>
      </c>
      <c r="E15" s="6" t="s">
        <v>156</v>
      </c>
      <c r="F15" s="6" t="s">
        <v>157</v>
      </c>
      <c r="G15" s="6" t="s">
        <v>158</v>
      </c>
      <c r="H15" s="6" t="s">
        <v>159</v>
      </c>
      <c r="I15" s="6" t="s">
        <v>160</v>
      </c>
      <c r="J15" s="6" t="s">
        <v>161</v>
      </c>
      <c r="K15" s="6" t="s">
        <v>162</v>
      </c>
      <c r="L15" s="6" t="s">
        <v>163</v>
      </c>
    </row>
    <row r="16" customFormat="false" ht="15" hidden="false" customHeight="false" outlineLevel="0" collapsed="false">
      <c r="A16" s="7" t="s">
        <v>37</v>
      </c>
      <c r="B16" s="28" t="str">
        <f aca="false">Data!C5</f>
        <v>Industrial electricity price (state average)</v>
      </c>
      <c r="C16" s="28" t="str">
        <f aca="false">Data!B5</f>
        <v>Power &amp; Grid</v>
      </c>
      <c r="D16" s="24" t="n">
        <v>0.35</v>
      </c>
      <c r="E16" s="29" t="n">
        <f aca="false">$D16*INDEX(C$5:C$11,MATCH($C16,$B$5:$B$11,0))</f>
        <v>0.105</v>
      </c>
      <c r="F16" s="29" t="n">
        <f aca="false">$D16*INDEX(D$5:D$11,MATCH($C16,$B$5:$B$11,0))</f>
        <v>0.1575</v>
      </c>
      <c r="G16" s="29" t="n">
        <f aca="false">$D16*INDEX(E$5:E$11,MATCH($C16,$B$5:$B$11,0))</f>
        <v>0.07</v>
      </c>
      <c r="H16" s="29" t="n">
        <f aca="false">$D16*INDEX(F$5:F$11,MATCH($C16,$B$5:$B$11,0))</f>
        <v>0.0875</v>
      </c>
      <c r="I16" s="29" t="n">
        <f aca="false">$D16*INDEX(G$5:G$11,MATCH($C16,$B$5:$B$11,0))</f>
        <v>0.077</v>
      </c>
      <c r="J16" s="29" t="n">
        <f aca="false">$D16*INDEX(H$5:H$11,MATCH($C16,$B$5:$B$11,0))</f>
        <v>0.1225</v>
      </c>
      <c r="K16" s="29" t="n">
        <f aca="false">$D16*INDEX(I$5:I$11,MATCH($C16,$B$5:$B$11,0))</f>
        <v>0.105</v>
      </c>
      <c r="L16" s="29" t="n">
        <f aca="false">$D16*INDEX($J$5:$J$11,MATCH($C16,$B$5:$B$11,0))</f>
        <v>0.105</v>
      </c>
    </row>
    <row r="17" customFormat="false" ht="15" hidden="false" customHeight="false" outlineLevel="0" collapsed="false">
      <c r="A17" s="7" t="s">
        <v>47</v>
      </c>
      <c r="B17" s="28" t="str">
        <f aca="false">Data!C6</f>
        <v>Time to power for a new large load</v>
      </c>
      <c r="C17" s="28" t="str">
        <f aca="false">Data!B6</f>
        <v>Power &amp; Grid</v>
      </c>
      <c r="D17" s="24" t="n">
        <v>0.35</v>
      </c>
      <c r="E17" s="29" t="n">
        <f aca="false">$D17*INDEX(C$5:C$11,MATCH($C17,$B$5:$B$11,0))</f>
        <v>0.105</v>
      </c>
      <c r="F17" s="29" t="n">
        <f aca="false">$D17*INDEX(D$5:D$11,MATCH($C17,$B$5:$B$11,0))</f>
        <v>0.1575</v>
      </c>
      <c r="G17" s="29" t="n">
        <f aca="false">$D17*INDEX(E$5:E$11,MATCH($C17,$B$5:$B$11,0))</f>
        <v>0.07</v>
      </c>
      <c r="H17" s="29" t="n">
        <f aca="false">$D17*INDEX(F$5:F$11,MATCH($C17,$B$5:$B$11,0))</f>
        <v>0.0875</v>
      </c>
      <c r="I17" s="29" t="n">
        <f aca="false">$D17*INDEX(G$5:G$11,MATCH($C17,$B$5:$B$11,0))</f>
        <v>0.077</v>
      </c>
      <c r="J17" s="29" t="n">
        <f aca="false">$D17*INDEX(H$5:H$11,MATCH($C17,$B$5:$B$11,0))</f>
        <v>0.1225</v>
      </c>
      <c r="K17" s="29" t="n">
        <f aca="false">$D17*INDEX(I$5:I$11,MATCH($C17,$B$5:$B$11,0))</f>
        <v>0.105</v>
      </c>
      <c r="L17" s="29" t="n">
        <f aca="false">$D17*INDEX($J$5:$J$11,MATCH($C17,$B$5:$B$11,0))</f>
        <v>0.105</v>
      </c>
    </row>
    <row r="18" customFormat="false" ht="15" hidden="false" customHeight="false" outlineLevel="0" collapsed="false">
      <c r="A18" s="7" t="s">
        <v>53</v>
      </c>
      <c r="B18" s="28" t="str">
        <f aca="false">Data!C7</f>
        <v>Large-load tariff / contract burden (5 = most burdensome)</v>
      </c>
      <c r="C18" s="28" t="str">
        <f aca="false">Data!B7</f>
        <v>Power &amp; Grid</v>
      </c>
      <c r="D18" s="24" t="n">
        <v>0.15</v>
      </c>
      <c r="E18" s="29" t="n">
        <f aca="false">$D18*INDEX(C$5:C$11,MATCH($C18,$B$5:$B$11,0))</f>
        <v>0.045</v>
      </c>
      <c r="F18" s="29" t="n">
        <f aca="false">$D18*INDEX(D$5:D$11,MATCH($C18,$B$5:$B$11,0))</f>
        <v>0.0675</v>
      </c>
      <c r="G18" s="29" t="n">
        <f aca="false">$D18*INDEX(E$5:E$11,MATCH($C18,$B$5:$B$11,0))</f>
        <v>0.03</v>
      </c>
      <c r="H18" s="29" t="n">
        <f aca="false">$D18*INDEX(F$5:F$11,MATCH($C18,$B$5:$B$11,0))</f>
        <v>0.0375</v>
      </c>
      <c r="I18" s="29" t="n">
        <f aca="false">$D18*INDEX(G$5:G$11,MATCH($C18,$B$5:$B$11,0))</f>
        <v>0.033</v>
      </c>
      <c r="J18" s="29" t="n">
        <f aca="false">$D18*INDEX(H$5:H$11,MATCH($C18,$B$5:$B$11,0))</f>
        <v>0.0525</v>
      </c>
      <c r="K18" s="29" t="n">
        <f aca="false">$D18*INDEX(I$5:I$11,MATCH($C18,$B$5:$B$11,0))</f>
        <v>0.045</v>
      </c>
      <c r="L18" s="29" t="n">
        <f aca="false">$D18*INDEX($J$5:$J$11,MATCH($C18,$B$5:$B$11,0))</f>
        <v>0.045</v>
      </c>
    </row>
    <row r="19" customFormat="false" ht="15" hidden="false" customHeight="false" outlineLevel="0" collapsed="false">
      <c r="A19" s="7" t="s">
        <v>60</v>
      </c>
      <c r="B19" s="28" t="str">
        <f aca="false">Data!C8</f>
        <v>Grid clean-power profile (5 = cleanest)</v>
      </c>
      <c r="C19" s="28" t="str">
        <f aca="false">Data!B8</f>
        <v>Power &amp; Grid</v>
      </c>
      <c r="D19" s="24" t="n">
        <v>0.15</v>
      </c>
      <c r="E19" s="29" t="n">
        <f aca="false">$D19*INDEX(C$5:C$11,MATCH($C19,$B$5:$B$11,0))</f>
        <v>0.045</v>
      </c>
      <c r="F19" s="29" t="n">
        <f aca="false">$D19*INDEX(D$5:D$11,MATCH($C19,$B$5:$B$11,0))</f>
        <v>0.0675</v>
      </c>
      <c r="G19" s="29" t="n">
        <f aca="false">$D19*INDEX(E$5:E$11,MATCH($C19,$B$5:$B$11,0))</f>
        <v>0.03</v>
      </c>
      <c r="H19" s="29" t="n">
        <f aca="false">$D19*INDEX(F$5:F$11,MATCH($C19,$B$5:$B$11,0))</f>
        <v>0.0375</v>
      </c>
      <c r="I19" s="29" t="n">
        <f aca="false">$D19*INDEX(G$5:G$11,MATCH($C19,$B$5:$B$11,0))</f>
        <v>0.033</v>
      </c>
      <c r="J19" s="29" t="n">
        <f aca="false">$D19*INDEX(H$5:H$11,MATCH($C19,$B$5:$B$11,0))</f>
        <v>0.0525</v>
      </c>
      <c r="K19" s="29" t="n">
        <f aca="false">$D19*INDEX(I$5:I$11,MATCH($C19,$B$5:$B$11,0))</f>
        <v>0.045</v>
      </c>
      <c r="L19" s="29" t="n">
        <f aca="false">$D19*INDEX($J$5:$J$11,MATCH($C19,$B$5:$B$11,0))</f>
        <v>0.045</v>
      </c>
    </row>
    <row r="20" customFormat="false" ht="15" hidden="false" customHeight="false" outlineLevel="0" collapsed="false">
      <c r="A20" s="7" t="s">
        <v>65</v>
      </c>
      <c r="B20" s="28" t="str">
        <f aca="false">Data!C9</f>
        <v>Colocation vacancy rate</v>
      </c>
      <c r="C20" s="28" t="str">
        <f aca="false">Data!B9</f>
        <v>Market &amp; Pricing</v>
      </c>
      <c r="D20" s="24" t="n">
        <v>0.2</v>
      </c>
      <c r="E20" s="29" t="n">
        <f aca="false">$D20*INDEX(C$5:C$11,MATCH($C20,$B$5:$B$11,0))</f>
        <v>0.04</v>
      </c>
      <c r="F20" s="29" t="n">
        <f aca="false">$D20*INDEX(D$5:D$11,MATCH($C20,$B$5:$B$11,0))</f>
        <v>0.03</v>
      </c>
      <c r="G20" s="29" t="n">
        <f aca="false">$D20*INDEX(E$5:E$11,MATCH($C20,$B$5:$B$11,0))</f>
        <v>0.03</v>
      </c>
      <c r="H20" s="29" t="n">
        <f aca="false">$D20*INDEX(F$5:F$11,MATCH($C20,$B$5:$B$11,0))</f>
        <v>0.06</v>
      </c>
      <c r="I20" s="29" t="n">
        <f aca="false">$D20*INDEX(G$5:G$11,MATCH($C20,$B$5:$B$11,0))</f>
        <v>0.024</v>
      </c>
      <c r="J20" s="29" t="n">
        <f aca="false">$D20*INDEX(H$5:H$11,MATCH($C20,$B$5:$B$11,0))</f>
        <v>0.05</v>
      </c>
      <c r="K20" s="29" t="n">
        <f aca="false">$D20*INDEX(I$5:I$11,MATCH($C20,$B$5:$B$11,0))</f>
        <v>0.04</v>
      </c>
      <c r="L20" s="29" t="n">
        <f aca="false">$D20*INDEX($J$5:$J$11,MATCH($C20,$B$5:$B$11,0))</f>
        <v>0.04</v>
      </c>
    </row>
    <row r="21" customFormat="false" ht="15" hidden="false" customHeight="false" outlineLevel="0" collapsed="false">
      <c r="A21" s="7" t="s">
        <v>72</v>
      </c>
      <c r="B21" s="28" t="str">
        <f aca="false">Data!C10</f>
        <v>Immediately available capacity</v>
      </c>
      <c r="C21" s="28" t="str">
        <f aca="false">Data!B10</f>
        <v>Market &amp; Pricing</v>
      </c>
      <c r="D21" s="24" t="n">
        <v>0.3</v>
      </c>
      <c r="E21" s="29" t="n">
        <f aca="false">$D21*INDEX(C$5:C$11,MATCH($C21,$B$5:$B$11,0))</f>
        <v>0.06</v>
      </c>
      <c r="F21" s="29" t="n">
        <f aca="false">$D21*INDEX(D$5:D$11,MATCH($C21,$B$5:$B$11,0))</f>
        <v>0.045</v>
      </c>
      <c r="G21" s="29" t="n">
        <f aca="false">$D21*INDEX(E$5:E$11,MATCH($C21,$B$5:$B$11,0))</f>
        <v>0.045</v>
      </c>
      <c r="H21" s="29" t="n">
        <f aca="false">$D21*INDEX(F$5:F$11,MATCH($C21,$B$5:$B$11,0))</f>
        <v>0.09</v>
      </c>
      <c r="I21" s="29" t="n">
        <f aca="false">$D21*INDEX(G$5:G$11,MATCH($C21,$B$5:$B$11,0))</f>
        <v>0.036</v>
      </c>
      <c r="J21" s="29" t="n">
        <f aca="false">$D21*INDEX(H$5:H$11,MATCH($C21,$B$5:$B$11,0))</f>
        <v>0.075</v>
      </c>
      <c r="K21" s="29" t="n">
        <f aca="false">$D21*INDEX(I$5:I$11,MATCH($C21,$B$5:$B$11,0))</f>
        <v>0.06</v>
      </c>
      <c r="L21" s="29" t="n">
        <f aca="false">$D21*INDEX($J$5:$J$11,MATCH($C21,$B$5:$B$11,0))</f>
        <v>0.06</v>
      </c>
    </row>
    <row r="22" customFormat="false" ht="15" hidden="false" customHeight="false" outlineLevel="0" collapsed="false">
      <c r="A22" s="7" t="s">
        <v>79</v>
      </c>
      <c r="B22" s="28" t="str">
        <f aca="false">Data!C11</f>
        <v>Wholesale asking rent (midpoint of published range)</v>
      </c>
      <c r="C22" s="28" t="str">
        <f aca="false">Data!B11</f>
        <v>Market &amp; Pricing</v>
      </c>
      <c r="D22" s="24" t="n">
        <v>0.35</v>
      </c>
      <c r="E22" s="29" t="n">
        <f aca="false">$D22*INDEX(C$5:C$11,MATCH($C22,$B$5:$B$11,0))</f>
        <v>0.07</v>
      </c>
      <c r="F22" s="29" t="n">
        <f aca="false">$D22*INDEX(D$5:D$11,MATCH($C22,$B$5:$B$11,0))</f>
        <v>0.0525</v>
      </c>
      <c r="G22" s="29" t="n">
        <f aca="false">$D22*INDEX(E$5:E$11,MATCH($C22,$B$5:$B$11,0))</f>
        <v>0.0525</v>
      </c>
      <c r="H22" s="29" t="n">
        <f aca="false">$D22*INDEX(F$5:F$11,MATCH($C22,$B$5:$B$11,0))</f>
        <v>0.105</v>
      </c>
      <c r="I22" s="29" t="n">
        <f aca="false">$D22*INDEX(G$5:G$11,MATCH($C22,$B$5:$B$11,0))</f>
        <v>0.042</v>
      </c>
      <c r="J22" s="29" t="n">
        <f aca="false">$D22*INDEX(H$5:H$11,MATCH($C22,$B$5:$B$11,0))</f>
        <v>0.0875</v>
      </c>
      <c r="K22" s="29" t="n">
        <f aca="false">$D22*INDEX(I$5:I$11,MATCH($C22,$B$5:$B$11,0))</f>
        <v>0.07</v>
      </c>
      <c r="L22" s="29" t="n">
        <f aca="false">$D22*INDEX($J$5:$J$11,MATCH($C22,$B$5:$B$11,0))</f>
        <v>0.07</v>
      </c>
    </row>
    <row r="23" customFormat="false" ht="15" hidden="false" customHeight="false" outlineLevel="0" collapsed="false">
      <c r="A23" s="7" t="s">
        <v>85</v>
      </c>
      <c r="B23" s="28" t="str">
        <f aca="false">Data!C12</f>
        <v>Installed colocation inventory (market depth)</v>
      </c>
      <c r="C23" s="28" t="str">
        <f aca="false">Data!B12</f>
        <v>Market &amp; Pricing</v>
      </c>
      <c r="D23" s="24" t="n">
        <v>0.15</v>
      </c>
      <c r="E23" s="29" t="n">
        <f aca="false">$D23*INDEX(C$5:C$11,MATCH($C23,$B$5:$B$11,0))</f>
        <v>0.03</v>
      </c>
      <c r="F23" s="29" t="n">
        <f aca="false">$D23*INDEX(D$5:D$11,MATCH($C23,$B$5:$B$11,0))</f>
        <v>0.0225</v>
      </c>
      <c r="G23" s="29" t="n">
        <f aca="false">$D23*INDEX(E$5:E$11,MATCH($C23,$B$5:$B$11,0))</f>
        <v>0.0225</v>
      </c>
      <c r="H23" s="29" t="n">
        <f aca="false">$D23*INDEX(F$5:F$11,MATCH($C23,$B$5:$B$11,0))</f>
        <v>0.045</v>
      </c>
      <c r="I23" s="29" t="n">
        <f aca="false">$D23*INDEX(G$5:G$11,MATCH($C23,$B$5:$B$11,0))</f>
        <v>0.018</v>
      </c>
      <c r="J23" s="29" t="n">
        <f aca="false">$D23*INDEX(H$5:H$11,MATCH($C23,$B$5:$B$11,0))</f>
        <v>0.0375</v>
      </c>
      <c r="K23" s="29" t="n">
        <f aca="false">$D23*INDEX(I$5:I$11,MATCH($C23,$B$5:$B$11,0))</f>
        <v>0.03</v>
      </c>
      <c r="L23" s="29" t="n">
        <f aca="false">$D23*INDEX($J$5:$J$11,MATCH($C23,$B$5:$B$11,0))</f>
        <v>0.03</v>
      </c>
    </row>
    <row r="24" customFormat="false" ht="15" hidden="false" customHeight="false" outlineLevel="0" collapsed="false">
      <c r="A24" s="7" t="s">
        <v>90</v>
      </c>
      <c r="B24" s="28" t="str">
        <f aca="false">Data!C13</f>
        <v>Network / interconnection ecosystem (5 = best)</v>
      </c>
      <c r="C24" s="28" t="str">
        <f aca="false">Data!B13</f>
        <v>Network &amp; Latency</v>
      </c>
      <c r="D24" s="24" t="n">
        <v>0.5</v>
      </c>
      <c r="E24" s="29" t="n">
        <f aca="false">$D24*INDEX(C$5:C$11,MATCH($C24,$B$5:$B$11,0))</f>
        <v>0.06</v>
      </c>
      <c r="F24" s="29" t="n">
        <f aca="false">$D24*INDEX(D$5:D$11,MATCH($C24,$B$5:$B$11,0))</f>
        <v>0.04</v>
      </c>
      <c r="G24" s="29" t="n">
        <f aca="false">$D24*INDEX(E$5:E$11,MATCH($C24,$B$5:$B$11,0))</f>
        <v>0.15</v>
      </c>
      <c r="H24" s="29" t="n">
        <f aca="false">$D24*INDEX(F$5:F$11,MATCH($C24,$B$5:$B$11,0))</f>
        <v>0.04</v>
      </c>
      <c r="I24" s="29" t="n">
        <f aca="false">$D24*INDEX(G$5:G$11,MATCH($C24,$B$5:$B$11,0))</f>
        <v>0.04</v>
      </c>
      <c r="J24" s="29" t="n">
        <f aca="false">$D24*INDEX(H$5:H$11,MATCH($C24,$B$5:$B$11,0))</f>
        <v>0.05</v>
      </c>
      <c r="K24" s="29" t="n">
        <f aca="false">$D24*INDEX(I$5:I$11,MATCH($C24,$B$5:$B$11,0))</f>
        <v>0.06</v>
      </c>
      <c r="L24" s="29" t="n">
        <f aca="false">$D24*INDEX($J$5:$J$11,MATCH($C24,$B$5:$B$11,0))</f>
        <v>0.06</v>
      </c>
    </row>
    <row r="25" customFormat="false" ht="15" hidden="false" customHeight="false" outlineLevel="0" collapsed="false">
      <c r="A25" s="7" t="s">
        <v>95</v>
      </c>
      <c r="B25" s="28" t="str">
        <f aca="false">Data!C14</f>
        <v>Population-weighted estimated fiber RTT to 13 largest US metros</v>
      </c>
      <c r="C25" s="28" t="str">
        <f aca="false">Data!B14</f>
        <v>Network &amp; Latency</v>
      </c>
      <c r="D25" s="24" t="n">
        <v>0.5</v>
      </c>
      <c r="E25" s="29" t="n">
        <f aca="false">$D25*INDEX(C$5:C$11,MATCH($C25,$B$5:$B$11,0))</f>
        <v>0.06</v>
      </c>
      <c r="F25" s="29" t="n">
        <f aca="false">$D25*INDEX(D$5:D$11,MATCH($C25,$B$5:$B$11,0))</f>
        <v>0.04</v>
      </c>
      <c r="G25" s="29" t="n">
        <f aca="false">$D25*INDEX(E$5:E$11,MATCH($C25,$B$5:$B$11,0))</f>
        <v>0.15</v>
      </c>
      <c r="H25" s="29" t="n">
        <f aca="false">$D25*INDEX(F$5:F$11,MATCH($C25,$B$5:$B$11,0))</f>
        <v>0.04</v>
      </c>
      <c r="I25" s="29" t="n">
        <f aca="false">$D25*INDEX(G$5:G$11,MATCH($C25,$B$5:$B$11,0))</f>
        <v>0.04</v>
      </c>
      <c r="J25" s="29" t="n">
        <f aca="false">$D25*INDEX(H$5:H$11,MATCH($C25,$B$5:$B$11,0))</f>
        <v>0.05</v>
      </c>
      <c r="K25" s="29" t="n">
        <f aca="false">$D25*INDEX(I$5:I$11,MATCH($C25,$B$5:$B$11,0))</f>
        <v>0.06</v>
      </c>
      <c r="L25" s="29" t="n">
        <f aca="false">$D25*INDEX($J$5:$J$11,MATCH($C25,$B$5:$B$11,0))</f>
        <v>0.06</v>
      </c>
    </row>
    <row r="26" customFormat="false" ht="15" hidden="false" customHeight="false" outlineLevel="0" collapsed="false">
      <c r="A26" s="7" t="s">
        <v>101</v>
      </c>
      <c r="B26" s="28" t="str">
        <f aca="false">Data!C15</f>
        <v>Natural-hazard exposure (5 = highest)</v>
      </c>
      <c r="C26" s="28" t="str">
        <f aca="false">Data!B15</f>
        <v>Risk &amp; Resilience</v>
      </c>
      <c r="D26" s="24" t="n">
        <v>0.35</v>
      </c>
      <c r="E26" s="29" t="n">
        <f aca="false">$D26*INDEX(C$5:C$11,MATCH($C26,$B$5:$B$11,0))</f>
        <v>0.0525</v>
      </c>
      <c r="F26" s="29" t="n">
        <f aca="false">$D26*INDEX(D$5:D$11,MATCH($C26,$B$5:$B$11,0))</f>
        <v>0.042</v>
      </c>
      <c r="G26" s="29" t="n">
        <f aca="false">$D26*INDEX(E$5:E$11,MATCH($C26,$B$5:$B$11,0))</f>
        <v>0.042</v>
      </c>
      <c r="H26" s="29" t="n">
        <f aca="false">$D26*INDEX(F$5:F$11,MATCH($C26,$B$5:$B$11,0))</f>
        <v>0.035</v>
      </c>
      <c r="I26" s="29" t="n">
        <f aca="false">$D26*INDEX(G$5:G$11,MATCH($C26,$B$5:$B$11,0))</f>
        <v>0.098</v>
      </c>
      <c r="J26" s="29" t="n">
        <f aca="false">$D26*INDEX(H$5:H$11,MATCH($C26,$B$5:$B$11,0))</f>
        <v>0.028</v>
      </c>
      <c r="K26" s="29" t="n">
        <f aca="false">$D26*INDEX(I$5:I$11,MATCH($C26,$B$5:$B$11,0))</f>
        <v>0.0525</v>
      </c>
      <c r="L26" s="29" t="n">
        <f aca="false">$D26*INDEX($J$5:$J$11,MATCH($C26,$B$5:$B$11,0))</f>
        <v>0.0525</v>
      </c>
    </row>
    <row r="27" customFormat="false" ht="15" hidden="false" customHeight="false" outlineLevel="0" collapsed="false">
      <c r="A27" s="7" t="s">
        <v>107</v>
      </c>
      <c r="B27" s="28" t="str">
        <f aca="false">Data!C16</f>
        <v>Water stress (5 = extremely high)</v>
      </c>
      <c r="C27" s="28" t="str">
        <f aca="false">Data!B16</f>
        <v>Risk &amp; Resilience</v>
      </c>
      <c r="D27" s="24" t="n">
        <v>0.3</v>
      </c>
      <c r="E27" s="29" t="n">
        <f aca="false">$D27*INDEX(C$5:C$11,MATCH($C27,$B$5:$B$11,0))</f>
        <v>0.045</v>
      </c>
      <c r="F27" s="29" t="n">
        <f aca="false">$D27*INDEX(D$5:D$11,MATCH($C27,$B$5:$B$11,0))</f>
        <v>0.036</v>
      </c>
      <c r="G27" s="29" t="n">
        <f aca="false">$D27*INDEX(E$5:E$11,MATCH($C27,$B$5:$B$11,0))</f>
        <v>0.036</v>
      </c>
      <c r="H27" s="29" t="n">
        <f aca="false">$D27*INDEX(F$5:F$11,MATCH($C27,$B$5:$B$11,0))</f>
        <v>0.03</v>
      </c>
      <c r="I27" s="29" t="n">
        <f aca="false">$D27*INDEX(G$5:G$11,MATCH($C27,$B$5:$B$11,0))</f>
        <v>0.084</v>
      </c>
      <c r="J27" s="29" t="n">
        <f aca="false">$D27*INDEX(H$5:H$11,MATCH($C27,$B$5:$B$11,0))</f>
        <v>0.024</v>
      </c>
      <c r="K27" s="29" t="n">
        <f aca="false">$D27*INDEX(I$5:I$11,MATCH($C27,$B$5:$B$11,0))</f>
        <v>0.045</v>
      </c>
      <c r="L27" s="29" t="n">
        <f aca="false">$D27*INDEX($J$5:$J$11,MATCH($C27,$B$5:$B$11,0))</f>
        <v>0.045</v>
      </c>
    </row>
    <row r="28" customFormat="false" ht="15" hidden="false" customHeight="false" outlineLevel="0" collapsed="false">
      <c r="A28" s="7" t="s">
        <v>112</v>
      </c>
      <c r="B28" s="28" t="str">
        <f aca="false">Data!C17</f>
        <v>Local approval / moratorium risk (5 = highest)</v>
      </c>
      <c r="C28" s="28" t="str">
        <f aca="false">Data!B17</f>
        <v>Risk &amp; Resilience</v>
      </c>
      <c r="D28" s="24" t="n">
        <v>0.35</v>
      </c>
      <c r="E28" s="29" t="n">
        <f aca="false">$D28*INDEX(C$5:C$11,MATCH($C28,$B$5:$B$11,0))</f>
        <v>0.0525</v>
      </c>
      <c r="F28" s="29" t="n">
        <f aca="false">$D28*INDEX(D$5:D$11,MATCH($C28,$B$5:$B$11,0))</f>
        <v>0.042</v>
      </c>
      <c r="G28" s="29" t="n">
        <f aca="false">$D28*INDEX(E$5:E$11,MATCH($C28,$B$5:$B$11,0))</f>
        <v>0.042</v>
      </c>
      <c r="H28" s="29" t="n">
        <f aca="false">$D28*INDEX(F$5:F$11,MATCH($C28,$B$5:$B$11,0))</f>
        <v>0.035</v>
      </c>
      <c r="I28" s="29" t="n">
        <f aca="false">$D28*INDEX(G$5:G$11,MATCH($C28,$B$5:$B$11,0))</f>
        <v>0.098</v>
      </c>
      <c r="J28" s="29" t="n">
        <f aca="false">$D28*INDEX(H$5:H$11,MATCH($C28,$B$5:$B$11,0))</f>
        <v>0.028</v>
      </c>
      <c r="K28" s="29" t="n">
        <f aca="false">$D28*INDEX(I$5:I$11,MATCH($C28,$B$5:$B$11,0))</f>
        <v>0.0525</v>
      </c>
      <c r="L28" s="29" t="n">
        <f aca="false">$D28*INDEX($J$5:$J$11,MATCH($C28,$B$5:$B$11,0))</f>
        <v>0.0525</v>
      </c>
    </row>
    <row r="29" customFormat="false" ht="15" hidden="false" customHeight="false" outlineLevel="0" collapsed="false">
      <c r="A29" s="7" t="s">
        <v>116</v>
      </c>
      <c r="B29" s="28" t="str">
        <f aca="false">Data!C18</f>
        <v>Data-center sales-tax exemption status (5 = intact and stable)</v>
      </c>
      <c r="C29" s="28" t="str">
        <f aca="false">Data!B18</f>
        <v>Policy &amp; Incentives</v>
      </c>
      <c r="D29" s="24" t="n">
        <v>1</v>
      </c>
      <c r="E29" s="29" t="n">
        <f aca="false">$D29*INDEX(C$5:C$11,MATCH($C29,$B$5:$B$11,0))</f>
        <v>0.08</v>
      </c>
      <c r="F29" s="29" t="n">
        <f aca="false">$D29*INDEX(D$5:D$11,MATCH($C29,$B$5:$B$11,0))</f>
        <v>0.06</v>
      </c>
      <c r="G29" s="29" t="n">
        <f aca="false">$D29*INDEX(E$5:E$11,MATCH($C29,$B$5:$B$11,0))</f>
        <v>0.06</v>
      </c>
      <c r="H29" s="29" t="n">
        <f aca="false">$D29*INDEX(F$5:F$11,MATCH($C29,$B$5:$B$11,0))</f>
        <v>0.15</v>
      </c>
      <c r="I29" s="29" t="n">
        <f aca="false">$D29*INDEX(G$5:G$11,MATCH($C29,$B$5:$B$11,0))</f>
        <v>0.18</v>
      </c>
      <c r="J29" s="29" t="n">
        <f aca="false">$D29*INDEX(H$5:H$11,MATCH($C29,$B$5:$B$11,0))</f>
        <v>0.06</v>
      </c>
      <c r="K29" s="29" t="n">
        <f aca="false">$D29*INDEX(I$5:I$11,MATCH($C29,$B$5:$B$11,0))</f>
        <v>0.08</v>
      </c>
      <c r="L29" s="29" t="n">
        <f aca="false">$D29*INDEX($J$5:$J$11,MATCH($C29,$B$5:$B$11,0))</f>
        <v>0.08</v>
      </c>
    </row>
    <row r="30" customFormat="false" ht="15" hidden="false" customHeight="false" outlineLevel="0" collapsed="false">
      <c r="A30" s="7" t="s">
        <v>122</v>
      </c>
      <c r="B30" s="28" t="str">
        <f aca="false">Data!C19</f>
        <v>Construction labor / contractor availability (5 = best)</v>
      </c>
      <c r="C30" s="28" t="str">
        <f aca="false">Data!B19</f>
        <v>Build &amp; Operations</v>
      </c>
      <c r="D30" s="24" t="n">
        <v>0.5</v>
      </c>
      <c r="E30" s="29" t="n">
        <f aca="false">$D30*INDEX(C$5:C$11,MATCH($C30,$B$5:$B$11,0))</f>
        <v>0.025</v>
      </c>
      <c r="F30" s="29" t="n">
        <f aca="false">$D30*INDEX(D$5:D$11,MATCH($C30,$B$5:$B$11,0))</f>
        <v>0.02</v>
      </c>
      <c r="G30" s="29" t="n">
        <f aca="false">$D30*INDEX(E$5:E$11,MATCH($C30,$B$5:$B$11,0))</f>
        <v>0.025</v>
      </c>
      <c r="H30" s="29" t="n">
        <f aca="false">$D30*INDEX(F$5:F$11,MATCH($C30,$B$5:$B$11,0))</f>
        <v>0.02</v>
      </c>
      <c r="I30" s="29" t="n">
        <f aca="false">$D30*INDEX(G$5:G$11,MATCH($C30,$B$5:$B$11,0))</f>
        <v>0.02</v>
      </c>
      <c r="J30" s="29" t="n">
        <f aca="false">$D30*INDEX(H$5:H$11,MATCH($C30,$B$5:$B$11,0))</f>
        <v>0.02</v>
      </c>
      <c r="K30" s="29" t="n">
        <f aca="false">$D30*INDEX(I$5:I$11,MATCH($C30,$B$5:$B$11,0))</f>
        <v>0.025</v>
      </c>
      <c r="L30" s="29" t="n">
        <f aca="false">$D30*INDEX($J$5:$J$11,MATCH($C30,$B$5:$B$11,0))</f>
        <v>0.025</v>
      </c>
    </row>
    <row r="31" customFormat="false" ht="15" hidden="false" customHeight="false" outlineLevel="0" collapsed="false">
      <c r="A31" s="7" t="s">
        <v>128</v>
      </c>
      <c r="B31" s="28" t="str">
        <f aca="false">Data!C20</f>
        <v>Climate / free-cooling suitability (5 = best)</v>
      </c>
      <c r="C31" s="28" t="str">
        <f aca="false">Data!B20</f>
        <v>Build &amp; Operations</v>
      </c>
      <c r="D31" s="24" t="n">
        <v>0.5</v>
      </c>
      <c r="E31" s="29" t="n">
        <f aca="false">$D31*INDEX(C$5:C$11,MATCH($C31,$B$5:$B$11,0))</f>
        <v>0.025</v>
      </c>
      <c r="F31" s="29" t="n">
        <f aca="false">$D31*INDEX(D$5:D$11,MATCH($C31,$B$5:$B$11,0))</f>
        <v>0.02</v>
      </c>
      <c r="G31" s="29" t="n">
        <f aca="false">$D31*INDEX(E$5:E$11,MATCH($C31,$B$5:$B$11,0))</f>
        <v>0.025</v>
      </c>
      <c r="H31" s="29" t="n">
        <f aca="false">$D31*INDEX(F$5:F$11,MATCH($C31,$B$5:$B$11,0))</f>
        <v>0.02</v>
      </c>
      <c r="I31" s="29" t="n">
        <f aca="false">$D31*INDEX(G$5:G$11,MATCH($C31,$B$5:$B$11,0))</f>
        <v>0.02</v>
      </c>
      <c r="J31" s="29" t="n">
        <f aca="false">$D31*INDEX(H$5:H$11,MATCH($C31,$B$5:$B$11,0))</f>
        <v>0.02</v>
      </c>
      <c r="K31" s="29" t="n">
        <f aca="false">$D31*INDEX(I$5:I$11,MATCH($C31,$B$5:$B$11,0))</f>
        <v>0.025</v>
      </c>
      <c r="L31" s="29" t="n">
        <f aca="false">$D31*INDEX($J$5:$J$11,MATCH($C31,$B$5:$B$11,0))</f>
        <v>0.025</v>
      </c>
    </row>
    <row r="32" customFormat="false" ht="15" hidden="false" customHeight="false" outlineLevel="0" collapsed="false">
      <c r="A32" s="7" t="s">
        <v>132</v>
      </c>
      <c r="B32" s="28" t="str">
        <f aca="false">Data!C21</f>
        <v>Expansion headroom to 100+ MW within ~5 years (5 = best)</v>
      </c>
      <c r="C32" s="28" t="str">
        <f aca="false">Data!B21</f>
        <v>Growth Headroom</v>
      </c>
      <c r="D32" s="24" t="n">
        <v>0.6</v>
      </c>
      <c r="E32" s="29" t="n">
        <f aca="false">$D32*INDEX(C$5:C$11,MATCH($C32,$B$5:$B$11,0))</f>
        <v>0.06</v>
      </c>
      <c r="F32" s="29" t="n">
        <f aca="false">$D32*INDEX(D$5:D$11,MATCH($C32,$B$5:$B$11,0))</f>
        <v>0.06</v>
      </c>
      <c r="G32" s="29" t="n">
        <f aca="false">$D32*INDEX(E$5:E$11,MATCH($C32,$B$5:$B$11,0))</f>
        <v>0.072</v>
      </c>
      <c r="H32" s="29" t="n">
        <f aca="false">$D32*INDEX(F$5:F$11,MATCH($C32,$B$5:$B$11,0))</f>
        <v>0.048</v>
      </c>
      <c r="I32" s="29" t="n">
        <f aca="false">$D32*INDEX(G$5:G$11,MATCH($C32,$B$5:$B$11,0))</f>
        <v>0.048</v>
      </c>
      <c r="J32" s="29" t="n">
        <f aca="false">$D32*INDEX(H$5:H$11,MATCH($C32,$B$5:$B$11,0))</f>
        <v>0.072</v>
      </c>
      <c r="K32" s="29" t="n">
        <f aca="false">$D32*INDEX(I$5:I$11,MATCH($C32,$B$5:$B$11,0))</f>
        <v>0.06</v>
      </c>
      <c r="L32" s="29" t="n">
        <f aca="false">$D32*INDEX($J$5:$J$11,MATCH($C32,$B$5:$B$11,0))</f>
        <v>0.06</v>
      </c>
    </row>
    <row r="33" customFormat="false" ht="15" hidden="false" customHeight="false" outlineLevel="0" collapsed="false">
      <c r="A33" s="7" t="s">
        <v>137</v>
      </c>
      <c r="B33" s="28" t="str">
        <f aca="false">Data!C22</f>
        <v>Bridging / behind-the-meter power feasibility (5 = best)</v>
      </c>
      <c r="C33" s="28" t="str">
        <f aca="false">Data!B22</f>
        <v>Growth Headroom</v>
      </c>
      <c r="D33" s="24" t="n">
        <v>0.4</v>
      </c>
      <c r="E33" s="29" t="n">
        <f aca="false">$D33*INDEX(C$5:C$11,MATCH($C33,$B$5:$B$11,0))</f>
        <v>0.04</v>
      </c>
      <c r="F33" s="29" t="n">
        <f aca="false">$D33*INDEX(D$5:D$11,MATCH($C33,$B$5:$B$11,0))</f>
        <v>0.04</v>
      </c>
      <c r="G33" s="29" t="n">
        <f aca="false">$D33*INDEX(E$5:E$11,MATCH($C33,$B$5:$B$11,0))</f>
        <v>0.048</v>
      </c>
      <c r="H33" s="29" t="n">
        <f aca="false">$D33*INDEX(F$5:F$11,MATCH($C33,$B$5:$B$11,0))</f>
        <v>0.032</v>
      </c>
      <c r="I33" s="29" t="n">
        <f aca="false">$D33*INDEX(G$5:G$11,MATCH($C33,$B$5:$B$11,0))</f>
        <v>0.032</v>
      </c>
      <c r="J33" s="29" t="n">
        <f aca="false">$D33*INDEX(H$5:H$11,MATCH($C33,$B$5:$B$11,0))</f>
        <v>0.048</v>
      </c>
      <c r="K33" s="29" t="n">
        <f aca="false">$D33*INDEX(I$5:I$11,MATCH($C33,$B$5:$B$11,0))</f>
        <v>0.04</v>
      </c>
      <c r="L33" s="29" t="n">
        <f aca="false">$D33*INDEX($J$5:$J$11,MATCH($C33,$B$5:$B$11,0))</f>
        <v>0.04</v>
      </c>
    </row>
    <row r="34" customFormat="false" ht="15" hidden="false" customHeight="false" outlineLevel="0" collapsed="false">
      <c r="B34" s="3" t="s">
        <v>164</v>
      </c>
      <c r="E34" s="30" t="n">
        <f aca="false">SUM(E16:E33)</f>
        <v>1</v>
      </c>
      <c r="F34" s="30" t="n">
        <f aca="false">SUM(F16:F33)</f>
        <v>1</v>
      </c>
      <c r="G34" s="30" t="n">
        <f aca="false">SUM(G16:G33)</f>
        <v>1</v>
      </c>
      <c r="H34" s="30" t="n">
        <f aca="false">SUM(H16:H33)</f>
        <v>1</v>
      </c>
      <c r="I34" s="30" t="n">
        <f aca="false">SUM(I16:I33)</f>
        <v>1</v>
      </c>
      <c r="J34" s="30" t="n">
        <f aca="false">SUM(J16:J33)</f>
        <v>1</v>
      </c>
      <c r="K34" s="30" t="n">
        <f aca="false">SUM(K16:K33)</f>
        <v>1</v>
      </c>
      <c r="L34" s="30" t="n">
        <f aca="false">SUM(L16:L33)</f>
        <v>1</v>
      </c>
    </row>
    <row r="36" customFormat="false" ht="15" hidden="false" customHeight="false" outlineLevel="0" collapsed="false">
      <c r="B36" s="3" t="s">
        <v>165</v>
      </c>
    </row>
    <row r="37" customFormat="false" ht="15" hidden="false" customHeight="false" outlineLevel="0" collapsed="false">
      <c r="B37" s="14" t="s">
        <v>38</v>
      </c>
      <c r="C37" s="31" t="n">
        <f aca="false">SUMIF($C$16:$C$33,B37,$D$16:$D$33)</f>
        <v>1</v>
      </c>
      <c r="D37" s="14" t="str">
        <f aca="false">IF(ABS(C37-1)&lt;0.00001,"OK","CHECK")</f>
        <v>OK</v>
      </c>
    </row>
    <row r="38" customFormat="false" ht="15" hidden="false" customHeight="false" outlineLevel="0" collapsed="false">
      <c r="B38" s="14" t="s">
        <v>66</v>
      </c>
      <c r="C38" s="31" t="n">
        <f aca="false">SUMIF($C$16:$C$33,B38,$D$16:$D$33)</f>
        <v>1</v>
      </c>
      <c r="D38" s="14" t="str">
        <f aca="false">IF(ABS(C38-1)&lt;0.00001,"OK","CHECK")</f>
        <v>OK</v>
      </c>
    </row>
    <row r="39" customFormat="false" ht="15" hidden="false" customHeight="false" outlineLevel="0" collapsed="false">
      <c r="B39" s="14" t="s">
        <v>91</v>
      </c>
      <c r="C39" s="31" t="n">
        <f aca="false">SUMIF($C$16:$C$33,B39,$D$16:$D$33)</f>
        <v>1</v>
      </c>
      <c r="D39" s="14" t="str">
        <f aca="false">IF(ABS(C39-1)&lt;0.00001,"OK","CHECK")</f>
        <v>OK</v>
      </c>
    </row>
    <row r="40" customFormat="false" ht="15" hidden="false" customHeight="false" outlineLevel="0" collapsed="false">
      <c r="B40" s="14" t="s">
        <v>102</v>
      </c>
      <c r="C40" s="31" t="n">
        <f aca="false">SUMIF($C$16:$C$33,B40,$D$16:$D$33)</f>
        <v>1</v>
      </c>
      <c r="D40" s="14" t="str">
        <f aca="false">IF(ABS(C40-1)&lt;0.00001,"OK","CHECK")</f>
        <v>OK</v>
      </c>
    </row>
    <row r="41" customFormat="false" ht="15" hidden="false" customHeight="false" outlineLevel="0" collapsed="false">
      <c r="B41" s="14" t="s">
        <v>117</v>
      </c>
      <c r="C41" s="31" t="n">
        <f aca="false">SUMIF($C$16:$C$33,B41,$D$16:$D$33)</f>
        <v>1</v>
      </c>
      <c r="D41" s="14" t="str">
        <f aca="false">IF(ABS(C41-1)&lt;0.00001,"OK","CHECK")</f>
        <v>OK</v>
      </c>
    </row>
    <row r="42" customFormat="false" ht="15" hidden="false" customHeight="false" outlineLevel="0" collapsed="false">
      <c r="B42" s="14" t="s">
        <v>123</v>
      </c>
      <c r="C42" s="31" t="n">
        <f aca="false">SUMIF($C$16:$C$33,B42,$D$16:$D$33)</f>
        <v>1</v>
      </c>
      <c r="D42" s="14" t="str">
        <f aca="false">IF(ABS(C42-1)&lt;0.00001,"OK","CHECK")</f>
        <v>OK</v>
      </c>
    </row>
    <row r="43" customFormat="false" ht="15" hidden="false" customHeight="false" outlineLevel="0" collapsed="false">
      <c r="B43" s="14" t="s">
        <v>133</v>
      </c>
      <c r="C43" s="31" t="n">
        <f aca="false">SUMIF($C$16:$C$33,B43,$D$16:$D$33)</f>
        <v>1</v>
      </c>
      <c r="D43" s="14" t="str">
        <f aca="false">IF(ABS(C43-1)&lt;0.00001,"OK","CHECK")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8" min="3" style="0" width="15"/>
    <col collapsed="false" customWidth="true" hidden="false" outlineLevel="0" max="9" min="9" style="0" width="3"/>
    <col collapsed="false" customWidth="true" hidden="false" outlineLevel="0" max="15" min="10" style="0" width="15"/>
    <col collapsed="false" customWidth="true" hidden="false" outlineLevel="0" max="17" min="16" style="0" width="9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43.5" hidden="false" customHeight="true" outlineLevel="0" collapsed="false">
      <c r="A4" s="6" t="s">
        <v>27</v>
      </c>
      <c r="B4" s="6" t="s">
        <v>28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J4" s="6" t="s">
        <v>168</v>
      </c>
      <c r="K4" s="6" t="s">
        <v>169</v>
      </c>
      <c r="L4" s="6" t="s">
        <v>170</v>
      </c>
      <c r="M4" s="6" t="s">
        <v>171</v>
      </c>
      <c r="N4" s="6" t="s">
        <v>172</v>
      </c>
      <c r="O4" s="6" t="s">
        <v>173</v>
      </c>
      <c r="P4" s="6" t="s">
        <v>174</v>
      </c>
      <c r="Q4" s="6" t="s">
        <v>175</v>
      </c>
    </row>
    <row r="5" customFormat="false" ht="15" hidden="false" customHeight="false" outlineLevel="0" collapsed="false">
      <c r="A5" s="14" t="s">
        <v>37</v>
      </c>
      <c r="B5" s="12" t="str">
        <f aca="false">Data!C5</f>
        <v>Industrial electricity price (state average)</v>
      </c>
      <c r="C5" s="32" t="n">
        <f aca="false">IF(Data!$E5="rubric",IF(Data!$F5="higher",(Data!H5-1)/4,(5-Data!H5)/4)*100,IF($Q5=$P5,50,IF(Data!$F5="higher",(J5-$P5)/($Q5-$P5),($Q5-J5)/($Q5-$P5))*100))</f>
        <v>82.9268292682927</v>
      </c>
      <c r="D5" s="32" t="n">
        <f aca="false">IF(Data!$E5="rubric",IF(Data!$F5="higher",(Data!I5-1)/4,(5-Data!I5)/4)*100,IF($Q5=$P5,50,IF(Data!$F5="higher",(K5-$P5)/($Q5-$P5),($Q5-K5)/($Q5-$P5))*100))</f>
        <v>32.7526132404181</v>
      </c>
      <c r="E5" s="32" t="n">
        <f aca="false">IF(Data!$E5="rubric",IF(Data!$F5="higher",(Data!J5-1)/4,(5-Data!J5)/4)*100,IF($Q5=$P5,50,IF(Data!$F5="higher",(L5-$P5)/($Q5-$P5),($Q5-L5)/($Q5-$P5))*100))</f>
        <v>37.979094076655</v>
      </c>
      <c r="F5" s="32" t="n">
        <f aca="false">IF(Data!$E5="rubric",IF(Data!$F5="higher",(Data!K5-1)/4,(5-Data!K5)/4)*100,IF($Q5=$P5,50,IF(Data!$F5="higher",(M5-$P5)/($Q5-$P5),($Q5-M5)/($Q5-$P5))*100))</f>
        <v>0</v>
      </c>
      <c r="G5" s="32" t="n">
        <f aca="false">IF(Data!$E5="rubric",IF(Data!$F5="higher",(Data!L5-1)/4,(5-Data!L5)/4)*100,IF($Q5=$P5,50,IF(Data!$F5="higher",(N5-$P5)/($Q5-$P5),($Q5-N5)/($Q5-$P5))*100))</f>
        <v>100</v>
      </c>
      <c r="H5" s="32" t="n">
        <f aca="false">IF(Data!$E5="rubric",IF(Data!$F5="higher",(Data!M5-1)/4,(5-Data!M5)/4)*100,IF($Q5=$P5,50,IF(Data!$F5="higher",(O5-$P5)/($Q5-$P5),($Q5-O5)/($Q5-$P5))*100))</f>
        <v>65.8536585365854</v>
      </c>
      <c r="J5" s="33" t="n">
        <f aca="false">IF(Data!$G5="log",LN(Data!H5),Data!H5)</f>
        <v>6.61</v>
      </c>
      <c r="K5" s="33" t="n">
        <f aca="false">IF(Data!$G5="log",LN(Data!I5),Data!I5)</f>
        <v>8.05</v>
      </c>
      <c r="L5" s="33" t="n">
        <f aca="false">IF(Data!$G5="log",LN(Data!J5),Data!J5)</f>
        <v>7.9</v>
      </c>
      <c r="M5" s="33" t="n">
        <f aca="false">IF(Data!$G5="log",LN(Data!K5),Data!K5)</f>
        <v>8.99</v>
      </c>
      <c r="N5" s="33" t="n">
        <f aca="false">IF(Data!$G5="log",LN(Data!L5),Data!L5)</f>
        <v>6.12</v>
      </c>
      <c r="O5" s="33" t="n">
        <f aca="false">IF(Data!$G5="log",LN(Data!M5),Data!M5)</f>
        <v>7.1</v>
      </c>
      <c r="P5" s="34" t="n">
        <f aca="false">MIN(J5:O5)</f>
        <v>6.12</v>
      </c>
      <c r="Q5" s="34" t="n">
        <f aca="false">MAX(J5:O5)</f>
        <v>8.99</v>
      </c>
    </row>
    <row r="6" customFormat="false" ht="15" hidden="false" customHeight="false" outlineLevel="0" collapsed="false">
      <c r="A6" s="14" t="s">
        <v>47</v>
      </c>
      <c r="B6" s="12" t="str">
        <f aca="false">Data!C6</f>
        <v>Time to power for a new large load</v>
      </c>
      <c r="C6" s="32" t="n">
        <f aca="false">IF(Data!$E6="rubric",IF(Data!$F6="higher",(Data!H6-1)/4,(5-Data!H6)/4)*100,IF($Q6=$P6,50,IF(Data!$F6="higher",(J6-$P6)/($Q6-$P6),($Q6-J6)/($Q6-$P6))*100))</f>
        <v>75</v>
      </c>
      <c r="D6" s="32" t="n">
        <f aca="false">IF(Data!$E6="rubric",IF(Data!$F6="higher",(Data!I6-1)/4,(5-Data!I6)/4)*100,IF($Q6=$P6,50,IF(Data!$F6="higher",(K6-$P6)/($Q6-$P6),($Q6-K6)/($Q6-$P6))*100))</f>
        <v>75</v>
      </c>
      <c r="E6" s="32" t="n">
        <f aca="false">IF(Data!$E6="rubric",IF(Data!$F6="higher",(Data!J6-1)/4,(5-Data!J6)/4)*100,IF($Q6=$P6,50,IF(Data!$F6="higher",(L6-$P6)/($Q6-$P6),($Q6-L6)/($Q6-$P6))*100))</f>
        <v>50</v>
      </c>
      <c r="F6" s="32" t="n">
        <f aca="false">IF(Data!$E6="rubric",IF(Data!$F6="higher",(Data!K6-1)/4,(5-Data!K6)/4)*100,IF($Q6=$P6,50,IF(Data!$F6="higher",(M6-$P6)/($Q6-$P6),($Q6-M6)/($Q6-$P6))*100))</f>
        <v>0</v>
      </c>
      <c r="G6" s="32" t="n">
        <f aca="false">IF(Data!$E6="rubric",IF(Data!$F6="higher",(Data!L6-1)/4,(5-Data!L6)/4)*100,IF($Q6=$P6,50,IF(Data!$F6="higher",(N6-$P6)/($Q6-$P6),($Q6-N6)/($Q6-$P6))*100))</f>
        <v>100</v>
      </c>
      <c r="H6" s="32" t="n">
        <f aca="false">IF(Data!$E6="rubric",IF(Data!$F6="higher",(Data!M6-1)/4,(5-Data!M6)/4)*100,IF($Q6=$P6,50,IF(Data!$F6="higher",(O6-$P6)/($Q6-$P6),($Q6-O6)/($Q6-$P6))*100))</f>
        <v>0</v>
      </c>
      <c r="J6" s="33" t="n">
        <f aca="false">IF(Data!$G6="log",LN(Data!H6),Data!H6)</f>
        <v>48</v>
      </c>
      <c r="K6" s="33" t="n">
        <f aca="false">IF(Data!$G6="log",LN(Data!I6),Data!I6)</f>
        <v>48</v>
      </c>
      <c r="L6" s="33" t="n">
        <f aca="false">IF(Data!$G6="log",LN(Data!J6),Data!J6)</f>
        <v>60</v>
      </c>
      <c r="M6" s="33" t="n">
        <f aca="false">IF(Data!$G6="log",LN(Data!K6),Data!K6)</f>
        <v>84</v>
      </c>
      <c r="N6" s="33" t="n">
        <f aca="false">IF(Data!$G6="log",LN(Data!L6),Data!L6)</f>
        <v>36</v>
      </c>
      <c r="O6" s="33" t="n">
        <f aca="false">IF(Data!$G6="log",LN(Data!M6),Data!M6)</f>
        <v>84</v>
      </c>
      <c r="P6" s="34" t="n">
        <f aca="false">MIN(J6:O6)</f>
        <v>36</v>
      </c>
      <c r="Q6" s="34" t="n">
        <f aca="false">MAX(J6:O6)</f>
        <v>84</v>
      </c>
    </row>
    <row r="7" customFormat="false" ht="15" hidden="false" customHeight="false" outlineLevel="0" collapsed="false">
      <c r="A7" s="14" t="s">
        <v>53</v>
      </c>
      <c r="B7" s="12" t="str">
        <f aca="false">Data!C7</f>
        <v>Large-load tariff / contract burden (5 = most burdensome)</v>
      </c>
      <c r="C7" s="32" t="n">
        <f aca="false">IF(Data!$E7="rubric",IF(Data!$F7="higher",(Data!H7-1)/4,(5-Data!H7)/4)*100,IF($Q7=$P7,50,IF(Data!$F7="higher",(J7-$P7)/($Q7-$P7),($Q7-J7)/($Q7-$P7))*100))</f>
        <v>50</v>
      </c>
      <c r="D7" s="32" t="n">
        <f aca="false">IF(Data!$E7="rubric",IF(Data!$F7="higher",(Data!I7-1)/4,(5-Data!I7)/4)*100,IF($Q7=$P7,50,IF(Data!$F7="higher",(K7-$P7)/($Q7-$P7),($Q7-K7)/($Q7-$P7))*100))</f>
        <v>0</v>
      </c>
      <c r="E7" s="32" t="n">
        <f aca="false">IF(Data!$E7="rubric",IF(Data!$F7="higher",(Data!J7-1)/4,(5-Data!J7)/4)*100,IF($Q7=$P7,50,IF(Data!$F7="higher",(L7-$P7)/($Q7-$P7),($Q7-L7)/($Q7-$P7))*100))</f>
        <v>25</v>
      </c>
      <c r="F7" s="32" t="n">
        <f aca="false">IF(Data!$E7="rubric",IF(Data!$F7="higher",(Data!K7-1)/4,(5-Data!K7)/4)*100,IF($Q7=$P7,50,IF(Data!$F7="higher",(M7-$P7)/($Q7-$P7),($Q7-M7)/($Q7-$P7))*100))</f>
        <v>25</v>
      </c>
      <c r="G7" s="32" t="n">
        <f aca="false">IF(Data!$E7="rubric",IF(Data!$F7="higher",(Data!L7-1)/4,(5-Data!L7)/4)*100,IF($Q7=$P7,50,IF(Data!$F7="higher",(N7-$P7)/($Q7-$P7),($Q7-N7)/($Q7-$P7))*100))</f>
        <v>25</v>
      </c>
      <c r="H7" s="32" t="n">
        <f aca="false">IF(Data!$E7="rubric",IF(Data!$F7="higher",(Data!M7-1)/4,(5-Data!M7)/4)*100,IF($Q7=$P7,50,IF(Data!$F7="higher",(O7-$P7)/($Q7-$P7),($Q7-O7)/($Q7-$P7))*100))</f>
        <v>0</v>
      </c>
      <c r="J7" s="33" t="n">
        <f aca="false">IF(Data!$G7="log",LN(Data!H7),Data!H7)</f>
        <v>3</v>
      </c>
      <c r="K7" s="33" t="n">
        <f aca="false">IF(Data!$G7="log",LN(Data!I7),Data!I7)</f>
        <v>5</v>
      </c>
      <c r="L7" s="33" t="n">
        <f aca="false">IF(Data!$G7="log",LN(Data!J7),Data!J7)</f>
        <v>4</v>
      </c>
      <c r="M7" s="33" t="n">
        <f aca="false">IF(Data!$G7="log",LN(Data!K7),Data!K7)</f>
        <v>4</v>
      </c>
      <c r="N7" s="33" t="n">
        <f aca="false">IF(Data!$G7="log",LN(Data!L7),Data!L7)</f>
        <v>4</v>
      </c>
      <c r="O7" s="33" t="n">
        <f aca="false">IF(Data!$G7="log",LN(Data!M7),Data!M7)</f>
        <v>5</v>
      </c>
      <c r="P7" s="34" t="n">
        <f aca="false">MIN(J7:O7)</f>
        <v>3</v>
      </c>
      <c r="Q7" s="34" t="n">
        <f aca="false">MAX(J7:O7)</f>
        <v>5</v>
      </c>
    </row>
    <row r="8" customFormat="false" ht="15" hidden="false" customHeight="false" outlineLevel="0" collapsed="false">
      <c r="A8" s="14" t="s">
        <v>60</v>
      </c>
      <c r="B8" s="12" t="str">
        <f aca="false">Data!C8</f>
        <v>Grid clean-power profile (5 = cleanest)</v>
      </c>
      <c r="C8" s="32" t="n">
        <f aca="false">IF(Data!$E8="rubric",IF(Data!$F8="higher",(Data!H8-1)/4,(5-Data!H8)/4)*100,IF($Q8=$P8,50,IF(Data!$F8="higher",(J8-$P8)/($Q8-$P8),($Q8-J8)/($Q8-$P8))*100))</f>
        <v>100</v>
      </c>
      <c r="D8" s="32" t="n">
        <f aca="false">IF(Data!$E8="rubric",IF(Data!$F8="higher",(Data!I8-1)/4,(5-Data!I8)/4)*100,IF($Q8=$P8,50,IF(Data!$F8="higher",(K8-$P8)/($Q8-$P8),($Q8-K8)/($Q8-$P8))*100))</f>
        <v>75</v>
      </c>
      <c r="E8" s="32" t="n">
        <f aca="false">IF(Data!$E8="rubric",IF(Data!$F8="higher",(Data!J8-1)/4,(5-Data!J8)/4)*100,IF($Q8=$P8,50,IF(Data!$F8="higher",(L8-$P8)/($Q8-$P8),($Q8-L8)/($Q8-$P8))*100))</f>
        <v>50</v>
      </c>
      <c r="F8" s="32" t="n">
        <f aca="false">IF(Data!$E8="rubric",IF(Data!$F8="higher",(Data!K8-1)/4,(5-Data!K8)/4)*100,IF($Q8=$P8,50,IF(Data!$F8="higher",(M8-$P8)/($Q8-$P8),($Q8-M8)/($Q8-$P8))*100))</f>
        <v>50</v>
      </c>
      <c r="G8" s="32" t="n">
        <f aca="false">IF(Data!$E8="rubric",IF(Data!$F8="higher",(Data!L8-1)/4,(5-Data!L8)/4)*100,IF($Q8=$P8,50,IF(Data!$F8="higher",(N8-$P8)/($Q8-$P8),($Q8-N8)/($Q8-$P8))*100))</f>
        <v>50</v>
      </c>
      <c r="H8" s="32" t="n">
        <f aca="false">IF(Data!$E8="rubric",IF(Data!$F8="higher",(Data!M8-1)/4,(5-Data!M8)/4)*100,IF($Q8=$P8,50,IF(Data!$F8="higher",(O8-$P8)/($Q8-$P8),($Q8-O8)/($Q8-$P8))*100))</f>
        <v>25</v>
      </c>
      <c r="J8" s="33" t="n">
        <f aca="false">IF(Data!$G8="log",LN(Data!H8),Data!H8)</f>
        <v>5</v>
      </c>
      <c r="K8" s="33" t="n">
        <f aca="false">IF(Data!$G8="log",LN(Data!I8),Data!I8)</f>
        <v>4</v>
      </c>
      <c r="L8" s="33" t="n">
        <f aca="false">IF(Data!$G8="log",LN(Data!J8),Data!J8)</f>
        <v>3</v>
      </c>
      <c r="M8" s="33" t="n">
        <f aca="false">IF(Data!$G8="log",LN(Data!K8),Data!K8)</f>
        <v>3</v>
      </c>
      <c r="N8" s="33" t="n">
        <f aca="false">IF(Data!$G8="log",LN(Data!L8),Data!L8)</f>
        <v>3</v>
      </c>
      <c r="O8" s="33" t="n">
        <f aca="false">IF(Data!$G8="log",LN(Data!M8),Data!M8)</f>
        <v>2</v>
      </c>
      <c r="P8" s="34" t="n">
        <f aca="false">MIN(J8:O8)</f>
        <v>2</v>
      </c>
      <c r="Q8" s="34" t="n">
        <f aca="false">MAX(J8:O8)</f>
        <v>5</v>
      </c>
    </row>
    <row r="9" customFormat="false" ht="15" hidden="false" customHeight="false" outlineLevel="0" collapsed="false">
      <c r="A9" s="14" t="s">
        <v>65</v>
      </c>
      <c r="B9" s="12" t="str">
        <f aca="false">Data!C9</f>
        <v>Colocation vacancy rate</v>
      </c>
      <c r="C9" s="32" t="n">
        <f aca="false">IF(Data!$E9="rubric",IF(Data!$F9="higher",(Data!H9-1)/4,(5-Data!H9)/4)*100,IF($Q9=$P9,50,IF(Data!$F9="higher",(J9-$P9)/($Q9-$P9),($Q9-J9)/($Q9-$P9))*100))</f>
        <v>100</v>
      </c>
      <c r="D9" s="32" t="n">
        <f aca="false">IF(Data!$E9="rubric",IF(Data!$F9="higher",(Data!I9-1)/4,(5-Data!I9)/4)*100,IF($Q9=$P9,50,IF(Data!$F9="higher",(K9-$P9)/($Q9-$P9),($Q9-K9)/($Q9-$P9))*100))</f>
        <v>2.97297297297297</v>
      </c>
      <c r="E9" s="32" t="n">
        <f aca="false">IF(Data!$E9="rubric",IF(Data!$F9="higher",(Data!J9-1)/4,(5-Data!J9)/4)*100,IF($Q9=$P9,50,IF(Data!$F9="higher",(L9-$P9)/($Q9-$P9),($Q9-L9)/($Q9-$P9))*100))</f>
        <v>78.3783783783784</v>
      </c>
      <c r="F9" s="32" t="n">
        <f aca="false">IF(Data!$E9="rubric",IF(Data!$F9="higher",(Data!K9-1)/4,(5-Data!K9)/4)*100,IF($Q9=$P9,50,IF(Data!$F9="higher",(M9-$P9)/($Q9-$P9),($Q9-M9)/($Q9-$P9))*100))</f>
        <v>3.78378378378378</v>
      </c>
      <c r="G9" s="32" t="n">
        <f aca="false">IF(Data!$E9="rubric",IF(Data!$F9="higher",(Data!L9-1)/4,(5-Data!L9)/4)*100,IF($Q9=$P9,50,IF(Data!$F9="higher",(N9-$P9)/($Q9-$P9),($Q9-N9)/($Q9-$P9))*100))</f>
        <v>45.945945945946</v>
      </c>
      <c r="H9" s="32" t="n">
        <f aca="false">IF(Data!$E9="rubric",IF(Data!$F9="higher",(Data!M9-1)/4,(5-Data!M9)/4)*100,IF($Q9=$P9,50,IF(Data!$F9="higher",(O9-$P9)/($Q9-$P9),($Q9-O9)/($Q9-$P9))*100))</f>
        <v>0</v>
      </c>
      <c r="J9" s="33" t="n">
        <f aca="false">IF(Data!$G9="log",LN(Data!H9),Data!H9)</f>
        <v>3.8</v>
      </c>
      <c r="K9" s="33" t="n">
        <f aca="false">IF(Data!$G9="log",LN(Data!I9),Data!I9)</f>
        <v>0.21</v>
      </c>
      <c r="L9" s="33" t="n">
        <f aca="false">IF(Data!$G9="log",LN(Data!J9),Data!J9)</f>
        <v>3</v>
      </c>
      <c r="M9" s="33" t="n">
        <f aca="false">IF(Data!$G9="log",LN(Data!K9),Data!K9)</f>
        <v>0.24</v>
      </c>
      <c r="N9" s="33" t="n">
        <f aca="false">IF(Data!$G9="log",LN(Data!L9),Data!L9)</f>
        <v>1.8</v>
      </c>
      <c r="O9" s="33" t="n">
        <f aca="false">IF(Data!$G9="log",LN(Data!M9),Data!M9)</f>
        <v>0.1</v>
      </c>
      <c r="P9" s="34" t="n">
        <f aca="false">MIN(J9:O9)</f>
        <v>0.1</v>
      </c>
      <c r="Q9" s="34" t="n">
        <f aca="false">MAX(J9:O9)</f>
        <v>3.8</v>
      </c>
    </row>
    <row r="10" customFormat="false" ht="15" hidden="false" customHeight="false" outlineLevel="0" collapsed="false">
      <c r="A10" s="14" t="s">
        <v>72</v>
      </c>
      <c r="B10" s="12" t="str">
        <f aca="false">Data!C10</f>
        <v>Immediately available capacity</v>
      </c>
      <c r="C10" s="32" t="n">
        <f aca="false">IF(Data!$E10="rubric",IF(Data!$F10="higher",(Data!H10-1)/4,(5-Data!H10)/4)*100,IF($Q10=$P10,50,IF(Data!$F10="higher",(J10-$P10)/($Q10-$P10),($Q10-J10)/($Q10-$P10))*100))</f>
        <v>90.7713261637739</v>
      </c>
      <c r="D10" s="32" t="n">
        <f aca="false">IF(Data!$E10="rubric",IF(Data!$F10="higher",(Data!I10-1)/4,(5-Data!I10)/4)*100,IF($Q10=$P10,50,IF(Data!$F10="higher",(K10-$P10)/($Q10-$P10),($Q10-K10)/($Q10-$P10))*100))</f>
        <v>0</v>
      </c>
      <c r="E10" s="32" t="n">
        <f aca="false">IF(Data!$E10="rubric",IF(Data!$F10="higher",(Data!J10-1)/4,(5-Data!J10)/4)*100,IF($Q10=$P10,50,IF(Data!$F10="higher",(L10-$P10)/($Q10-$P10),($Q10-L10)/($Q10-$P10))*100))</f>
        <v>93.3445695381724</v>
      </c>
      <c r="F10" s="32" t="n">
        <f aca="false">IF(Data!$E10="rubric",IF(Data!$F10="higher",(Data!K10-1)/4,(5-Data!K10)/4)*100,IF($Q10=$P10,50,IF(Data!$F10="higher",(M10-$P10)/($Q10-$P10),($Q10-M10)/($Q10-$P10))*100))</f>
        <v>64.6821599383057</v>
      </c>
      <c r="G10" s="32" t="n">
        <f aca="false">IF(Data!$E10="rubric",IF(Data!$F10="higher",(Data!L10-1)/4,(5-Data!L10)/4)*100,IF($Q10=$P10,50,IF(Data!$F10="higher",(N10-$P10)/($Q10-$P10),($Q10-N10)/($Q10-$P10))*100))</f>
        <v>100</v>
      </c>
      <c r="H10" s="32" t="n">
        <f aca="false">IF(Data!$E10="rubric",IF(Data!$F10="higher",(Data!M10-1)/4,(5-Data!M10)/4)*100,IF($Q10=$P10,50,IF(Data!$F10="higher",(O10-$P10)/($Q10-$P10),($Q10-O10)/($Q10-$P10))*100))</f>
        <v>34.0533068599758</v>
      </c>
      <c r="J10" s="33" t="n">
        <f aca="false">IF(Data!$G10="log",LN(Data!H10),Data!H10)</f>
        <v>3.33932197794407</v>
      </c>
      <c r="K10" s="33" t="n">
        <f aca="false">IF(Data!$G10="log",LN(Data!I10),Data!I10)</f>
        <v>0</v>
      </c>
      <c r="L10" s="33" t="n">
        <f aca="false">IF(Data!$G10="log",LN(Data!J10),Data!J10)</f>
        <v>3.43398720448515</v>
      </c>
      <c r="M10" s="33" t="n">
        <f aca="false">IF(Data!$G10="log",LN(Data!K10),Data!K10)</f>
        <v>2.37954613413017</v>
      </c>
      <c r="N10" s="33" t="n">
        <f aca="false">IF(Data!$G10="log",LN(Data!L10),Data!L10)</f>
        <v>3.67882911826043</v>
      </c>
      <c r="O10" s="33" t="n">
        <f aca="false">IF(Data!$G10="log",LN(Data!M10),Data!M10)</f>
        <v>1.25276296849537</v>
      </c>
      <c r="P10" s="34" t="n">
        <f aca="false">MIN(J10:O10)</f>
        <v>0</v>
      </c>
      <c r="Q10" s="34" t="n">
        <f aca="false">MAX(J10:O10)</f>
        <v>3.67882911826043</v>
      </c>
    </row>
    <row r="11" customFormat="false" ht="15" hidden="false" customHeight="false" outlineLevel="0" collapsed="false">
      <c r="A11" s="14" t="s">
        <v>79</v>
      </c>
      <c r="B11" s="12" t="str">
        <f aca="false">Data!C11</f>
        <v>Wholesale asking rent (midpoint of published range)</v>
      </c>
      <c r="C11" s="32" t="n">
        <f aca="false">IF(Data!$E11="rubric",IF(Data!$F11="higher",(Data!H11-1)/4,(5-Data!H11)/4)*100,IF($Q11=$P11,50,IF(Data!$F11="higher",(J11-$P11)/($Q11-$P11),($Q11-J11)/($Q11-$P11))*100))</f>
        <v>85.1851851851852</v>
      </c>
      <c r="D11" s="32" t="n">
        <f aca="false">IF(Data!$E11="rubric",IF(Data!$F11="higher",(Data!I11-1)/4,(5-Data!I11)/4)*100,IF($Q11=$P11,50,IF(Data!$F11="higher",(K11-$P11)/($Q11-$P11),($Q11-K11)/($Q11-$P11))*100))</f>
        <v>18.5185185185185</v>
      </c>
      <c r="E11" s="32" t="n">
        <f aca="false">IF(Data!$E11="rubric",IF(Data!$F11="higher",(Data!J11-1)/4,(5-Data!J11)/4)*100,IF($Q11=$P11,50,IF(Data!$F11="higher",(L11-$P11)/($Q11-$P11),($Q11-L11)/($Q11-$P11))*100))</f>
        <v>33.3333333333333</v>
      </c>
      <c r="F11" s="32" t="n">
        <f aca="false">IF(Data!$E11="rubric",IF(Data!$F11="higher",(Data!K11-1)/4,(5-Data!K11)/4)*100,IF($Q11=$P11,50,IF(Data!$F11="higher",(M11-$P11)/($Q11-$P11),($Q11-M11)/($Q11-$P11))*100))</f>
        <v>0</v>
      </c>
      <c r="G11" s="32" t="n">
        <f aca="false">IF(Data!$E11="rubric",IF(Data!$F11="higher",(Data!L11-1)/4,(5-Data!L11)/4)*100,IF($Q11=$P11,50,IF(Data!$F11="higher",(N11-$P11)/($Q11-$P11),($Q11-N11)/($Q11-$P11))*100))</f>
        <v>92.5925925925926</v>
      </c>
      <c r="H11" s="32" t="n">
        <f aca="false">IF(Data!$E11="rubric",IF(Data!$F11="higher",(Data!M11-1)/4,(5-Data!M11)/4)*100,IF($Q11=$P11,50,IF(Data!$F11="higher",(O11-$P11)/($Q11-$P11),($Q11-O11)/($Q11-$P11))*100))</f>
        <v>100</v>
      </c>
      <c r="J11" s="33" t="n">
        <f aca="false">IF(Data!$G11="log",LN(Data!H11),Data!H11)</f>
        <v>155</v>
      </c>
      <c r="K11" s="33" t="n">
        <f aca="false">IF(Data!$G11="log",LN(Data!I11),Data!I11)</f>
        <v>200</v>
      </c>
      <c r="L11" s="33" t="n">
        <f aca="false">IF(Data!$G11="log",LN(Data!J11),Data!J11)</f>
        <v>190</v>
      </c>
      <c r="M11" s="33" t="n">
        <f aca="false">IF(Data!$G11="log",LN(Data!K11),Data!K11)</f>
        <v>212.5</v>
      </c>
      <c r="N11" s="33" t="n">
        <f aca="false">IF(Data!$G11="log",LN(Data!L11),Data!L11)</f>
        <v>150</v>
      </c>
      <c r="O11" s="33" t="n">
        <f aca="false">IF(Data!$G11="log",LN(Data!M11),Data!M11)</f>
        <v>145</v>
      </c>
      <c r="P11" s="34" t="n">
        <f aca="false">MIN(J11:O11)</f>
        <v>145</v>
      </c>
      <c r="Q11" s="34" t="n">
        <f aca="false">MAX(J11:O11)</f>
        <v>212.5</v>
      </c>
    </row>
    <row r="12" customFormat="false" ht="15" hidden="false" customHeight="false" outlineLevel="0" collapsed="false">
      <c r="A12" s="14" t="s">
        <v>85</v>
      </c>
      <c r="B12" s="12" t="str">
        <f aca="false">Data!C12</f>
        <v>Installed colocation inventory (market depth)</v>
      </c>
      <c r="C12" s="32" t="n">
        <f aca="false">IF(Data!$E12="rubric",IF(Data!$F12="higher",(Data!H12-1)/4,(5-Data!H12)/4)*100,IF($Q12=$P12,50,IF(Data!$F12="higher",(J12-$P12)/($Q12-$P12),($Q12-J12)/($Q12-$P12))*100))</f>
        <v>19.8136577731133</v>
      </c>
      <c r="D12" s="32" t="n">
        <f aca="false">IF(Data!$E12="rubric",IF(Data!$F12="higher",(Data!I12-1)/4,(5-Data!I12)/4)*100,IF($Q12=$P12,50,IF(Data!$F12="higher",(K12-$P12)/($Q12-$P12),($Q12-K12)/($Q12-$P12))*100))</f>
        <v>0</v>
      </c>
      <c r="E12" s="32" t="n">
        <f aca="false">IF(Data!$E12="rubric",IF(Data!$F12="higher",(Data!J12-1)/4,(5-Data!J12)/4)*100,IF($Q12=$P12,50,IF(Data!$F12="higher",(L12-$P12)/($Q12-$P12),($Q12-L12)/($Q12-$P12))*100))</f>
        <v>36.0723724332462</v>
      </c>
      <c r="F12" s="32" t="n">
        <f aca="false">IF(Data!$E12="rubric",IF(Data!$F12="higher",(Data!K12-1)/4,(5-Data!K12)/4)*100,IF($Q12=$P12,50,IF(Data!$F12="higher",(M12-$P12)/($Q12-$P12),($Q12-M12)/($Q12-$P12))*100))</f>
        <v>100</v>
      </c>
      <c r="G12" s="32" t="n">
        <f aca="false">IF(Data!$E12="rubric",IF(Data!$F12="higher",(Data!L12-1)/4,(5-Data!L12)/4)*100,IF($Q12=$P12,50,IF(Data!$F12="higher",(N12-$P12)/($Q12-$P12),($Q12-N12)/($Q12-$P12))*100))</f>
        <v>49.1001049433478</v>
      </c>
      <c r="H12" s="32" t="n">
        <f aca="false">IF(Data!$E12="rubric",IF(Data!$F12="higher",(Data!M12-1)/4,(5-Data!M12)/4)*100,IF($Q12=$P12,50,IF(Data!$F12="higher",(O12-$P12)/($Q12-$P12),($Q12-O12)/($Q12-$P12))*100))</f>
        <v>89.3680025108255</v>
      </c>
      <c r="J12" s="33" t="n">
        <f aca="false">IF(Data!$G12="log",LN(Data!H12),Data!H12)</f>
        <v>6.60934924316738</v>
      </c>
      <c r="K12" s="33" t="n">
        <f aca="false">IF(Data!$G12="log",LN(Data!I12),Data!I12)</f>
        <v>6.16415655492609</v>
      </c>
      <c r="L12" s="33" t="n">
        <f aca="false">IF(Data!$G12="log",LN(Data!J12),Data!J12)</f>
        <v>6.97466598426476</v>
      </c>
      <c r="M12" s="33" t="n">
        <f aca="false">IF(Data!$G12="log",LN(Data!K12),Data!K12)</f>
        <v>8.41105459535457</v>
      </c>
      <c r="N12" s="33" t="n">
        <f aca="false">IF(Data!$G12="log",LN(Data!L12),Data!L12)</f>
        <v>7.2673858507465</v>
      </c>
      <c r="O12" s="33" t="n">
        <f aca="false">IF(Data!$G12="log",LN(Data!M12),Data!M12)</f>
        <v>8.1721644521119</v>
      </c>
      <c r="P12" s="34" t="n">
        <f aca="false">MIN(J12:O12)</f>
        <v>6.16415655492609</v>
      </c>
      <c r="Q12" s="34" t="n">
        <f aca="false">MAX(J12:O12)</f>
        <v>8.41105459535457</v>
      </c>
    </row>
    <row r="13" customFormat="false" ht="15" hidden="false" customHeight="false" outlineLevel="0" collapsed="false">
      <c r="A13" s="14" t="s">
        <v>90</v>
      </c>
      <c r="B13" s="12" t="str">
        <f aca="false">Data!C13</f>
        <v>Network / interconnection ecosystem (5 = best)</v>
      </c>
      <c r="C13" s="32" t="n">
        <f aca="false">IF(Data!$E13="rubric",IF(Data!$F13="higher",(Data!H13-1)/4,(5-Data!H13)/4)*100,IF($Q13=$P13,50,IF(Data!$F13="higher",(J13-$P13)/($Q13-$P13),($Q13-J13)/($Q13-$P13))*100))</f>
        <v>50</v>
      </c>
      <c r="D13" s="32" t="n">
        <f aca="false">IF(Data!$E13="rubric",IF(Data!$F13="higher",(Data!I13-1)/4,(5-Data!I13)/4)*100,IF($Q13=$P13,50,IF(Data!$F13="higher",(K13-$P13)/($Q13-$P13),($Q13-K13)/($Q13-$P13))*100))</f>
        <v>75</v>
      </c>
      <c r="E13" s="32" t="n">
        <f aca="false">IF(Data!$E13="rubric",IF(Data!$F13="higher",(Data!J13-1)/4,(5-Data!J13)/4)*100,IF($Q13=$P13,50,IF(Data!$F13="higher",(L13-$P13)/($Q13-$P13),($Q13-L13)/($Q13-$P13))*100))</f>
        <v>50</v>
      </c>
      <c r="F13" s="32" t="n">
        <f aca="false">IF(Data!$E13="rubric",IF(Data!$F13="higher",(Data!K13-1)/4,(5-Data!K13)/4)*100,IF($Q13=$P13,50,IF(Data!$F13="higher",(M13-$P13)/($Q13-$P13),($Q13-M13)/($Q13-$P13))*100))</f>
        <v>100</v>
      </c>
      <c r="G13" s="32" t="n">
        <f aca="false">IF(Data!$E13="rubric",IF(Data!$F13="higher",(Data!L13-1)/4,(5-Data!L13)/4)*100,IF($Q13=$P13,50,IF(Data!$F13="higher",(N13-$P13)/($Q13-$P13),($Q13-N13)/($Q13-$P13))*100))</f>
        <v>75</v>
      </c>
      <c r="H13" s="32" t="n">
        <f aca="false">IF(Data!$E13="rubric",IF(Data!$F13="higher",(Data!M13-1)/4,(5-Data!M13)/4)*100,IF($Q13=$P13,50,IF(Data!$F13="higher",(O13-$P13)/($Q13-$P13),($Q13-O13)/($Q13-$P13))*100))</f>
        <v>50</v>
      </c>
      <c r="J13" s="33" t="n">
        <f aca="false">IF(Data!$G13="log",LN(Data!H13),Data!H13)</f>
        <v>3</v>
      </c>
      <c r="K13" s="33" t="n">
        <f aca="false">IF(Data!$G13="log",LN(Data!I13),Data!I13)</f>
        <v>4</v>
      </c>
      <c r="L13" s="33" t="n">
        <f aca="false">IF(Data!$G13="log",LN(Data!J13),Data!J13)</f>
        <v>3</v>
      </c>
      <c r="M13" s="33" t="n">
        <f aca="false">IF(Data!$G13="log",LN(Data!K13),Data!K13)</f>
        <v>5</v>
      </c>
      <c r="N13" s="33" t="n">
        <f aca="false">IF(Data!$G13="log",LN(Data!L13),Data!L13)</f>
        <v>4</v>
      </c>
      <c r="O13" s="33" t="n">
        <f aca="false">IF(Data!$G13="log",LN(Data!M13),Data!M13)</f>
        <v>3</v>
      </c>
      <c r="P13" s="34" t="n">
        <f aca="false">MIN(J13:O13)</f>
        <v>3</v>
      </c>
      <c r="Q13" s="34" t="n">
        <f aca="false">MAX(J13:O13)</f>
        <v>5</v>
      </c>
    </row>
    <row r="14" customFormat="false" ht="15" hidden="false" customHeight="false" outlineLevel="0" collapsed="false">
      <c r="A14" s="14" t="s">
        <v>95</v>
      </c>
      <c r="B14" s="12" t="str">
        <f aca="false">Data!C14</f>
        <v>Population-weighted estimated fiber RTT to 13 largest US metros</v>
      </c>
      <c r="C14" s="32" t="n">
        <f aca="false">IF(Data!$E14="rubric",IF(Data!$F14="higher",(Data!H14-1)/4,(5-Data!H14)/4)*100,IF($Q14=$P14,50,IF(Data!$F14="higher",(J14-$P14)/($Q14-$P14),($Q14-J14)/($Q14-$P14))*100))</f>
        <v>9.521257319491</v>
      </c>
      <c r="D14" s="32" t="n">
        <f aca="false">IF(Data!$E14="rubric",IF(Data!$F14="higher",(Data!I14-1)/4,(5-Data!I14)/4)*100,IF($Q14=$P14,50,IF(Data!$F14="higher",(K14-$P14)/($Q14-$P14),($Q14-K14)/($Q14-$P14))*100))</f>
        <v>0</v>
      </c>
      <c r="E14" s="32" t="n">
        <f aca="false">IF(Data!$E14="rubric",IF(Data!$F14="higher",(Data!J14-1)/4,(5-Data!J14)/4)*100,IF($Q14=$P14,50,IF(Data!$F14="higher",(L14-$P14)/($Q14-$P14),($Q14-L14)/($Q14-$P14))*100))</f>
        <v>47.9286272031446</v>
      </c>
      <c r="F14" s="32" t="n">
        <f aca="false">IF(Data!$E14="rubric",IF(Data!$F14="higher",(Data!K14-1)/4,(5-Data!K14)/4)*100,IF($Q14=$P14,50,IF(Data!$F14="higher",(M14-$P14)/($Q14-$P14),($Q14-M14)/($Q14-$P14))*100))</f>
        <v>94.934127945479</v>
      </c>
      <c r="G14" s="32" t="n">
        <f aca="false">IF(Data!$E14="rubric",IF(Data!$F14="higher",(Data!L14-1)/4,(5-Data!L14)/4)*100,IF($Q14=$P14,50,IF(Data!$F14="higher",(N14-$P14)/($Q14-$P14),($Q14-N14)/($Q14-$P14))*100))</f>
        <v>89.2966351107349</v>
      </c>
      <c r="H14" s="32" t="n">
        <f aca="false">IF(Data!$E14="rubric",IF(Data!$F14="higher",(Data!M14-1)/4,(5-Data!M14)/4)*100,IF($Q14=$P14,50,IF(Data!$F14="higher",(O14-$P14)/($Q14-$P14),($Q14-O14)/($Q14-$P14))*100))</f>
        <v>100</v>
      </c>
      <c r="J14" s="33" t="n">
        <f aca="false">IF(Data!$G14="log",LN(Data!H14),Data!H14)</f>
        <v>41.8697011540024</v>
      </c>
      <c r="K14" s="33" t="n">
        <f aca="false">IF(Data!$G14="log",LN(Data!I14),Data!I14)</f>
        <v>43.8843830568976</v>
      </c>
      <c r="L14" s="33" t="n">
        <f aca="false">IF(Data!$G14="log",LN(Data!J14),Data!J14)</f>
        <v>33.7427668168748</v>
      </c>
      <c r="M14" s="33" t="n">
        <f aca="false">IF(Data!$G14="log",LN(Data!K14),Data!K14)</f>
        <v>23.7964825705447</v>
      </c>
      <c r="N14" s="33" t="n">
        <f aca="false">IF(Data!$G14="log",LN(Data!L14),Data!L14)</f>
        <v>24.9893664944578</v>
      </c>
      <c r="O14" s="33" t="n">
        <f aca="false">IF(Data!$G14="log",LN(Data!M14),Data!M14)</f>
        <v>22.7245526343867</v>
      </c>
      <c r="P14" s="34" t="n">
        <f aca="false">MIN(J14:O14)</f>
        <v>22.7245526343867</v>
      </c>
      <c r="Q14" s="34" t="n">
        <f aca="false">MAX(J14:O14)</f>
        <v>43.8843830568976</v>
      </c>
    </row>
    <row r="15" customFormat="false" ht="15" hidden="false" customHeight="false" outlineLevel="0" collapsed="false">
      <c r="A15" s="14" t="s">
        <v>101</v>
      </c>
      <c r="B15" s="12" t="str">
        <f aca="false">Data!C15</f>
        <v>Natural-hazard exposure (5 = highest)</v>
      </c>
      <c r="C15" s="32" t="n">
        <f aca="false">IF(Data!$E15="rubric",IF(Data!$F15="higher",(Data!H15-1)/4,(5-Data!H15)/4)*100,IF($Q15=$P15,50,IF(Data!$F15="higher",(J15-$P15)/($Q15-$P15),($Q15-J15)/($Q15-$P15))*100))</f>
        <v>75</v>
      </c>
      <c r="D15" s="32" t="n">
        <f aca="false">IF(Data!$E15="rubric",IF(Data!$F15="higher",(Data!I15-1)/4,(5-Data!I15)/4)*100,IF($Q15=$P15,50,IF(Data!$F15="higher",(K15-$P15)/($Q15-$P15),($Q15-K15)/($Q15-$P15))*100))</f>
        <v>50</v>
      </c>
      <c r="E15" s="32" t="n">
        <f aca="false">IF(Data!$E15="rubric",IF(Data!$F15="higher",(Data!J15-1)/4,(5-Data!J15)/4)*100,IF($Q15=$P15,50,IF(Data!$F15="higher",(L15-$P15)/($Q15-$P15),($Q15-L15)/($Q15-$P15))*100))</f>
        <v>0</v>
      </c>
      <c r="F15" s="32" t="n">
        <f aca="false">IF(Data!$E15="rubric",IF(Data!$F15="higher",(Data!K15-1)/4,(5-Data!K15)/4)*100,IF($Q15=$P15,50,IF(Data!$F15="higher",(M15-$P15)/($Q15-$P15),($Q15-M15)/($Q15-$P15))*100))</f>
        <v>75</v>
      </c>
      <c r="G15" s="32" t="n">
        <f aca="false">IF(Data!$E15="rubric",IF(Data!$F15="higher",(Data!L15-1)/4,(5-Data!L15)/4)*100,IF($Q15=$P15,50,IF(Data!$F15="higher",(N15-$P15)/($Q15-$P15),($Q15-N15)/($Q15-$P15))*100))</f>
        <v>0</v>
      </c>
      <c r="H15" s="32" t="n">
        <f aca="false">IF(Data!$E15="rubric",IF(Data!$F15="higher",(Data!M15-1)/4,(5-Data!M15)/4)*100,IF($Q15=$P15,50,IF(Data!$F15="higher",(O15-$P15)/($Q15-$P15),($Q15-O15)/($Q15-$P15))*100))</f>
        <v>75</v>
      </c>
      <c r="J15" s="33" t="n">
        <f aca="false">IF(Data!$G15="log",LN(Data!H15),Data!H15)</f>
        <v>2</v>
      </c>
      <c r="K15" s="33" t="n">
        <f aca="false">IF(Data!$G15="log",LN(Data!I15),Data!I15)</f>
        <v>3</v>
      </c>
      <c r="L15" s="33" t="n">
        <f aca="false">IF(Data!$G15="log",LN(Data!J15),Data!J15)</f>
        <v>5</v>
      </c>
      <c r="M15" s="33" t="n">
        <f aca="false">IF(Data!$G15="log",LN(Data!K15),Data!K15)</f>
        <v>2</v>
      </c>
      <c r="N15" s="33" t="n">
        <f aca="false">IF(Data!$G15="log",LN(Data!L15),Data!L15)</f>
        <v>5</v>
      </c>
      <c r="O15" s="33" t="n">
        <f aca="false">IF(Data!$G15="log",LN(Data!M15),Data!M15)</f>
        <v>2</v>
      </c>
      <c r="P15" s="34" t="n">
        <f aca="false">MIN(J15:O15)</f>
        <v>2</v>
      </c>
      <c r="Q15" s="34" t="n">
        <f aca="false">MAX(J15:O15)</f>
        <v>5</v>
      </c>
    </row>
    <row r="16" customFormat="false" ht="15" hidden="false" customHeight="false" outlineLevel="0" collapsed="false">
      <c r="A16" s="14" t="s">
        <v>107</v>
      </c>
      <c r="B16" s="12" t="str">
        <f aca="false">Data!C16</f>
        <v>Water stress (5 = extremely high)</v>
      </c>
      <c r="C16" s="32" t="n">
        <f aca="false">IF(Data!$E16="rubric",IF(Data!$F16="higher",(Data!H16-1)/4,(5-Data!H16)/4)*100,IF($Q16=$P16,50,IF(Data!$F16="higher",(J16-$P16)/($Q16-$P16),($Q16-J16)/($Q16-$P16))*100))</f>
        <v>75</v>
      </c>
      <c r="D16" s="32" t="n">
        <f aca="false">IF(Data!$E16="rubric",IF(Data!$F16="higher",(Data!I16-1)/4,(5-Data!I16)/4)*100,IF($Q16=$P16,50,IF(Data!$F16="higher",(K16-$P16)/($Q16-$P16),($Q16-K16)/($Q16-$P16))*100))</f>
        <v>75</v>
      </c>
      <c r="E16" s="32" t="n">
        <f aca="false">IF(Data!$E16="rubric",IF(Data!$F16="higher",(Data!J16-1)/4,(5-Data!J16)/4)*100,IF($Q16=$P16,50,IF(Data!$F16="higher",(L16-$P16)/($Q16-$P16),($Q16-L16)/($Q16-$P16))*100))</f>
        <v>0</v>
      </c>
      <c r="F16" s="32" t="n">
        <f aca="false">IF(Data!$E16="rubric",IF(Data!$F16="higher",(Data!K16-1)/4,(5-Data!K16)/4)*100,IF($Q16=$P16,50,IF(Data!$F16="higher",(M16-$P16)/($Q16-$P16),($Q16-M16)/($Q16-$P16))*100))</f>
        <v>50</v>
      </c>
      <c r="G16" s="32" t="n">
        <f aca="false">IF(Data!$E16="rubric",IF(Data!$F16="higher",(Data!L16-1)/4,(5-Data!L16)/4)*100,IF($Q16=$P16,50,IF(Data!$F16="higher",(N16-$P16)/($Q16-$P16),($Q16-N16)/($Q16-$P16))*100))</f>
        <v>50</v>
      </c>
      <c r="H16" s="32" t="n">
        <f aca="false">IF(Data!$E16="rubric",IF(Data!$F16="higher",(Data!M16-1)/4,(5-Data!M16)/4)*100,IF($Q16=$P16,50,IF(Data!$F16="higher",(O16-$P16)/($Q16-$P16),($Q16-O16)/($Q16-$P16))*100))</f>
        <v>100</v>
      </c>
      <c r="J16" s="33" t="n">
        <f aca="false">IF(Data!$G16="log",LN(Data!H16),Data!H16)</f>
        <v>2</v>
      </c>
      <c r="K16" s="33" t="n">
        <f aca="false">IF(Data!$G16="log",LN(Data!I16),Data!I16)</f>
        <v>2</v>
      </c>
      <c r="L16" s="33" t="n">
        <f aca="false">IF(Data!$G16="log",LN(Data!J16),Data!J16)</f>
        <v>5</v>
      </c>
      <c r="M16" s="33" t="n">
        <f aca="false">IF(Data!$G16="log",LN(Data!K16),Data!K16)</f>
        <v>3</v>
      </c>
      <c r="N16" s="33" t="n">
        <f aca="false">IF(Data!$G16="log",LN(Data!L16),Data!L16)</f>
        <v>3</v>
      </c>
      <c r="O16" s="33" t="n">
        <f aca="false">IF(Data!$G16="log",LN(Data!M16),Data!M16)</f>
        <v>1</v>
      </c>
      <c r="P16" s="34" t="n">
        <f aca="false">MIN(J16:O16)</f>
        <v>1</v>
      </c>
      <c r="Q16" s="34" t="n">
        <f aca="false">MAX(J16:O16)</f>
        <v>5</v>
      </c>
    </row>
    <row r="17" customFormat="false" ht="15" hidden="false" customHeight="false" outlineLevel="0" collapsed="false">
      <c r="A17" s="14" t="s">
        <v>112</v>
      </c>
      <c r="B17" s="12" t="str">
        <f aca="false">Data!C17</f>
        <v>Local approval / moratorium risk (5 = highest)</v>
      </c>
      <c r="C17" s="32" t="n">
        <f aca="false">IF(Data!$E17="rubric",IF(Data!$F17="higher",(Data!H17-1)/4,(5-Data!H17)/4)*100,IF($Q17=$P17,50,IF(Data!$F17="higher",(J17-$P17)/($Q17-$P17),($Q17-J17)/($Q17-$P17))*100))</f>
        <v>50</v>
      </c>
      <c r="D17" s="32" t="n">
        <f aca="false">IF(Data!$E17="rubric",IF(Data!$F17="higher",(Data!I17-1)/4,(5-Data!I17)/4)*100,IF($Q17=$P17,50,IF(Data!$F17="higher",(K17-$P17)/($Q17-$P17),($Q17-K17)/($Q17-$P17))*100))</f>
        <v>0</v>
      </c>
      <c r="E17" s="32" t="n">
        <f aca="false">IF(Data!$E17="rubric",IF(Data!$F17="higher",(Data!J17-1)/4,(5-Data!J17)/4)*100,IF($Q17=$P17,50,IF(Data!$F17="higher",(L17-$P17)/($Q17-$P17),($Q17-L17)/($Q17-$P17))*100))</f>
        <v>50</v>
      </c>
      <c r="F17" s="32" t="n">
        <f aca="false">IF(Data!$E17="rubric",IF(Data!$F17="higher",(Data!K17-1)/4,(5-Data!K17)/4)*100,IF($Q17=$P17,50,IF(Data!$F17="higher",(M17-$P17)/($Q17-$P17),($Q17-M17)/($Q17-$P17))*100))</f>
        <v>25</v>
      </c>
      <c r="G17" s="32" t="n">
        <f aca="false">IF(Data!$E17="rubric",IF(Data!$F17="higher",(Data!L17-1)/4,(5-Data!L17)/4)*100,IF($Q17=$P17,50,IF(Data!$F17="higher",(N17-$P17)/($Q17-$P17),($Q17-N17)/($Q17-$P17))*100))</f>
        <v>50</v>
      </c>
      <c r="H17" s="32" t="n">
        <f aca="false">IF(Data!$E17="rubric",IF(Data!$F17="higher",(Data!M17-1)/4,(5-Data!M17)/4)*100,IF($Q17=$P17,50,IF(Data!$F17="higher",(O17-$P17)/($Q17-$P17),($Q17-O17)/($Q17-$P17))*100))</f>
        <v>50</v>
      </c>
      <c r="J17" s="33" t="n">
        <f aca="false">IF(Data!$G17="log",LN(Data!H17),Data!H17)</f>
        <v>3</v>
      </c>
      <c r="K17" s="33" t="n">
        <f aca="false">IF(Data!$G17="log",LN(Data!I17),Data!I17)</f>
        <v>5</v>
      </c>
      <c r="L17" s="33" t="n">
        <f aca="false">IF(Data!$G17="log",LN(Data!J17),Data!J17)</f>
        <v>3</v>
      </c>
      <c r="M17" s="33" t="n">
        <f aca="false">IF(Data!$G17="log",LN(Data!K17),Data!K17)</f>
        <v>4</v>
      </c>
      <c r="N17" s="33" t="n">
        <f aca="false">IF(Data!$G17="log",LN(Data!L17),Data!L17)</f>
        <v>3</v>
      </c>
      <c r="O17" s="33" t="n">
        <f aca="false">IF(Data!$G17="log",LN(Data!M17),Data!M17)</f>
        <v>3</v>
      </c>
      <c r="P17" s="34" t="n">
        <f aca="false">MIN(J17:O17)</f>
        <v>3</v>
      </c>
      <c r="Q17" s="34" t="n">
        <f aca="false">MAX(J17:O17)</f>
        <v>5</v>
      </c>
    </row>
    <row r="18" customFormat="false" ht="15" hidden="false" customHeight="false" outlineLevel="0" collapsed="false">
      <c r="A18" s="14" t="s">
        <v>116</v>
      </c>
      <c r="B18" s="12" t="str">
        <f aca="false">Data!C18</f>
        <v>Data-center sales-tax exemption status (5 = intact and stable)</v>
      </c>
      <c r="C18" s="32" t="n">
        <f aca="false">IF(Data!$E18="rubric",IF(Data!$F18="higher",(Data!H18-1)/4,(5-Data!H18)/4)*100,IF($Q18=$P18,50,IF(Data!$F18="higher",(J18-$P18)/($Q18-$P18),($Q18-J18)/($Q18-$P18))*100))</f>
        <v>50</v>
      </c>
      <c r="D18" s="32" t="n">
        <f aca="false">IF(Data!$E18="rubric",IF(Data!$F18="higher",(Data!I18-1)/4,(5-Data!I18)/4)*100,IF($Q18=$P18,50,IF(Data!$F18="higher",(K18-$P18)/($Q18-$P18),($Q18-K18)/($Q18-$P18))*100))</f>
        <v>0</v>
      </c>
      <c r="E18" s="32" t="n">
        <f aca="false">IF(Data!$E18="rubric",IF(Data!$F18="higher",(Data!J18-1)/4,(5-Data!J18)/4)*100,IF($Q18=$P18,50,IF(Data!$F18="higher",(L18-$P18)/($Q18-$P18),($Q18-L18)/($Q18-$P18))*100))</f>
        <v>0</v>
      </c>
      <c r="F18" s="32" t="n">
        <f aca="false">IF(Data!$E18="rubric",IF(Data!$F18="higher",(Data!K18-1)/4,(5-Data!K18)/4)*100,IF($Q18=$P18,50,IF(Data!$F18="higher",(M18-$P18)/($Q18-$P18),($Q18-M18)/($Q18-$P18))*100))</f>
        <v>75</v>
      </c>
      <c r="G18" s="32" t="n">
        <f aca="false">IF(Data!$E18="rubric",IF(Data!$F18="higher",(Data!L18-1)/4,(5-Data!L18)/4)*100,IF($Q18=$P18,50,IF(Data!$F18="higher",(N18-$P18)/($Q18-$P18),($Q18-N18)/($Q18-$P18))*100))</f>
        <v>75</v>
      </c>
      <c r="H18" s="32" t="n">
        <f aca="false">IF(Data!$E18="rubric",IF(Data!$F18="higher",(Data!M18-1)/4,(5-Data!M18)/4)*100,IF($Q18=$P18,50,IF(Data!$F18="higher",(O18-$P18)/($Q18-$P18),($Q18-O18)/($Q18-$P18))*100))</f>
        <v>0</v>
      </c>
      <c r="J18" s="33" t="n">
        <f aca="false">IF(Data!$G18="log",LN(Data!H18),Data!H18)</f>
        <v>3</v>
      </c>
      <c r="K18" s="33" t="n">
        <f aca="false">IF(Data!$G18="log",LN(Data!I18),Data!I18)</f>
        <v>1</v>
      </c>
      <c r="L18" s="33" t="n">
        <f aca="false">IF(Data!$G18="log",LN(Data!J18),Data!J18)</f>
        <v>1</v>
      </c>
      <c r="M18" s="33" t="n">
        <f aca="false">IF(Data!$G18="log",LN(Data!K18),Data!K18)</f>
        <v>4</v>
      </c>
      <c r="N18" s="33" t="n">
        <f aca="false">IF(Data!$G18="log",LN(Data!L18),Data!L18)</f>
        <v>4</v>
      </c>
      <c r="O18" s="33" t="n">
        <f aca="false">IF(Data!$G18="log",LN(Data!M18),Data!M18)</f>
        <v>1</v>
      </c>
      <c r="P18" s="34" t="n">
        <f aca="false">MIN(J18:O18)</f>
        <v>1</v>
      </c>
      <c r="Q18" s="34" t="n">
        <f aca="false">MAX(J18:O18)</f>
        <v>4</v>
      </c>
    </row>
    <row r="19" customFormat="false" ht="15" hidden="false" customHeight="false" outlineLevel="0" collapsed="false">
      <c r="A19" s="14" t="s">
        <v>122</v>
      </c>
      <c r="B19" s="12" t="str">
        <f aca="false">Data!C19</f>
        <v>Construction labor / contractor availability (5 = best)</v>
      </c>
      <c r="C19" s="32" t="n">
        <f aca="false">IF(Data!$E19="rubric",IF(Data!$F19="higher",(Data!H19-1)/4,(5-Data!H19)/4)*100,IF($Q19=$P19,50,IF(Data!$F19="higher",(J19-$P19)/($Q19-$P19),($Q19-J19)/($Q19-$P19))*100))</f>
        <v>25</v>
      </c>
      <c r="D19" s="32" t="n">
        <f aca="false">IF(Data!$E19="rubric",IF(Data!$F19="higher",(Data!I19-1)/4,(5-Data!I19)/4)*100,IF($Q19=$P19,50,IF(Data!$F19="higher",(K19-$P19)/($Q19-$P19),($Q19-K19)/($Q19-$P19))*100))</f>
        <v>50</v>
      </c>
      <c r="E19" s="32" t="n">
        <f aca="false">IF(Data!$E19="rubric",IF(Data!$F19="higher",(Data!J19-1)/4,(5-Data!J19)/4)*100,IF($Q19=$P19,50,IF(Data!$F19="higher",(L19-$P19)/($Q19-$P19),($Q19-L19)/($Q19-$P19))*100))</f>
        <v>75</v>
      </c>
      <c r="F19" s="32" t="n">
        <f aca="false">IF(Data!$E19="rubric",IF(Data!$F19="higher",(Data!K19-1)/4,(5-Data!K19)/4)*100,IF($Q19=$P19,50,IF(Data!$F19="higher",(M19-$P19)/($Q19-$P19),($Q19-M19)/($Q19-$P19))*100))</f>
        <v>50</v>
      </c>
      <c r="G19" s="32" t="n">
        <f aca="false">IF(Data!$E19="rubric",IF(Data!$F19="higher",(Data!L19-1)/4,(5-Data!L19)/4)*100,IF($Q19=$P19,50,IF(Data!$F19="higher",(N19-$P19)/($Q19-$P19),($Q19-N19)/($Q19-$P19))*100))</f>
        <v>100</v>
      </c>
      <c r="H19" s="32" t="n">
        <f aca="false">IF(Data!$E19="rubric",IF(Data!$F19="higher",(Data!M19-1)/4,(5-Data!M19)/4)*100,IF($Q19=$P19,50,IF(Data!$F19="higher",(O19-$P19)/($Q19-$P19),($Q19-O19)/($Q19-$P19))*100))</f>
        <v>50</v>
      </c>
      <c r="J19" s="33" t="n">
        <f aca="false">IF(Data!$G19="log",LN(Data!H19),Data!H19)</f>
        <v>2</v>
      </c>
      <c r="K19" s="33" t="n">
        <f aca="false">IF(Data!$G19="log",LN(Data!I19),Data!I19)</f>
        <v>3</v>
      </c>
      <c r="L19" s="33" t="n">
        <f aca="false">IF(Data!$G19="log",LN(Data!J19),Data!J19)</f>
        <v>4</v>
      </c>
      <c r="M19" s="33" t="n">
        <f aca="false">IF(Data!$G19="log",LN(Data!K19),Data!K19)</f>
        <v>3</v>
      </c>
      <c r="N19" s="33" t="n">
        <f aca="false">IF(Data!$G19="log",LN(Data!L19),Data!L19)</f>
        <v>5</v>
      </c>
      <c r="O19" s="33" t="n">
        <f aca="false">IF(Data!$G19="log",LN(Data!M19),Data!M19)</f>
        <v>3</v>
      </c>
      <c r="P19" s="34" t="n">
        <f aca="false">MIN(J19:O19)</f>
        <v>2</v>
      </c>
      <c r="Q19" s="34" t="n">
        <f aca="false">MAX(J19:O19)</f>
        <v>5</v>
      </c>
    </row>
    <row r="20" customFormat="false" ht="15" hidden="false" customHeight="false" outlineLevel="0" collapsed="false">
      <c r="A20" s="14" t="s">
        <v>128</v>
      </c>
      <c r="B20" s="12" t="str">
        <f aca="false">Data!C20</f>
        <v>Climate / free-cooling suitability (5 = best)</v>
      </c>
      <c r="C20" s="32" t="n">
        <f aca="false">IF(Data!$E20="rubric",IF(Data!$F20="higher",(Data!H20-1)/4,(5-Data!H20)/4)*100,IF($Q20=$P20,50,IF(Data!$F20="higher",(J20-$P20)/($Q20-$P20),($Q20-J20)/($Q20-$P20))*100))</f>
        <v>75</v>
      </c>
      <c r="D20" s="32" t="n">
        <f aca="false">IF(Data!$E20="rubric",IF(Data!$F20="higher",(Data!I20-1)/4,(5-Data!I20)/4)*100,IF($Q20=$P20,50,IF(Data!$F20="higher",(K20-$P20)/($Q20-$P20),($Q20-K20)/($Q20-$P20))*100))</f>
        <v>75</v>
      </c>
      <c r="E20" s="32" t="n">
        <f aca="false">IF(Data!$E20="rubric",IF(Data!$F20="higher",(Data!J20-1)/4,(5-Data!J20)/4)*100,IF($Q20=$P20,50,IF(Data!$F20="higher",(L20-$P20)/($Q20-$P20),($Q20-L20)/($Q20-$P20))*100))</f>
        <v>0</v>
      </c>
      <c r="F20" s="32" t="n">
        <f aca="false">IF(Data!$E20="rubric",IF(Data!$F20="higher",(Data!K20-1)/4,(5-Data!K20)/4)*100,IF($Q20=$P20,50,IF(Data!$F20="higher",(M20-$P20)/($Q20-$P20),($Q20-M20)/($Q20-$P20))*100))</f>
        <v>50</v>
      </c>
      <c r="G20" s="32" t="n">
        <f aca="false">IF(Data!$E20="rubric",IF(Data!$F20="higher",(Data!L20-1)/4,(5-Data!L20)/4)*100,IF($Q20=$P20,50,IF(Data!$F20="higher",(N20-$P20)/($Q20-$P20),($Q20-N20)/($Q20-$P20))*100))</f>
        <v>25</v>
      </c>
      <c r="H20" s="32" t="n">
        <f aca="false">IF(Data!$E20="rubric",IF(Data!$F20="higher",(Data!M20-1)/4,(5-Data!M20)/4)*100,IF($Q20=$P20,50,IF(Data!$F20="higher",(O20-$P20)/($Q20-$P20),($Q20-O20)/($Q20-$P20))*100))</f>
        <v>50</v>
      </c>
      <c r="J20" s="33" t="n">
        <f aca="false">IF(Data!$G20="log",LN(Data!H20),Data!H20)</f>
        <v>4</v>
      </c>
      <c r="K20" s="33" t="n">
        <f aca="false">IF(Data!$G20="log",LN(Data!I20),Data!I20)</f>
        <v>4</v>
      </c>
      <c r="L20" s="33" t="n">
        <f aca="false">IF(Data!$G20="log",LN(Data!J20),Data!J20)</f>
        <v>1</v>
      </c>
      <c r="M20" s="33" t="n">
        <f aca="false">IF(Data!$G20="log",LN(Data!K20),Data!K20)</f>
        <v>3</v>
      </c>
      <c r="N20" s="33" t="n">
        <f aca="false">IF(Data!$G20="log",LN(Data!L20),Data!L20)</f>
        <v>2</v>
      </c>
      <c r="O20" s="33" t="n">
        <f aca="false">IF(Data!$G20="log",LN(Data!M20),Data!M20)</f>
        <v>3</v>
      </c>
      <c r="P20" s="34" t="n">
        <f aca="false">MIN(J20:O20)</f>
        <v>1</v>
      </c>
      <c r="Q20" s="34" t="n">
        <f aca="false">MAX(J20:O20)</f>
        <v>4</v>
      </c>
    </row>
    <row r="21" customFormat="false" ht="15" hidden="false" customHeight="false" outlineLevel="0" collapsed="false">
      <c r="A21" s="14" t="s">
        <v>132</v>
      </c>
      <c r="B21" s="12" t="str">
        <f aca="false">Data!C21</f>
        <v>Expansion headroom to 100+ MW within ~5 years (5 = best)</v>
      </c>
      <c r="C21" s="32" t="n">
        <f aca="false">IF(Data!$E21="rubric",IF(Data!$F21="higher",(Data!H21-1)/4,(5-Data!H21)/4)*100,IF($Q21=$P21,50,IF(Data!$F21="higher",(J21-$P21)/($Q21-$P21),($Q21-J21)/($Q21-$P21))*100))</f>
        <v>25</v>
      </c>
      <c r="D21" s="32" t="n">
        <f aca="false">IF(Data!$E21="rubric",IF(Data!$F21="higher",(Data!I21-1)/4,(5-Data!I21)/4)*100,IF($Q21=$P21,50,IF(Data!$F21="higher",(K21-$P21)/($Q21-$P21),($Q21-K21)/($Q21-$P21))*100))</f>
        <v>0</v>
      </c>
      <c r="E21" s="32" t="n">
        <f aca="false">IF(Data!$E21="rubric",IF(Data!$F21="higher",(Data!J21-1)/4,(5-Data!J21)/4)*100,IF($Q21=$P21,50,IF(Data!$F21="higher",(L21-$P21)/($Q21-$P21),($Q21-L21)/($Q21-$P21))*100))</f>
        <v>50</v>
      </c>
      <c r="F21" s="32" t="n">
        <f aca="false">IF(Data!$E21="rubric",IF(Data!$F21="higher",(Data!K21-1)/4,(5-Data!K21)/4)*100,IF($Q21=$P21,50,IF(Data!$F21="higher",(M21-$P21)/($Q21-$P21),($Q21-M21)/($Q21-$P21))*100))</f>
        <v>25</v>
      </c>
      <c r="G21" s="32" t="n">
        <f aca="false">IF(Data!$E21="rubric",IF(Data!$F21="higher",(Data!L21-1)/4,(5-Data!L21)/4)*100,IF($Q21=$P21,50,IF(Data!$F21="higher",(N21-$P21)/($Q21-$P21),($Q21-N21)/($Q21-$P21))*100))</f>
        <v>75</v>
      </c>
      <c r="H21" s="32" t="n">
        <f aca="false">IF(Data!$E21="rubric",IF(Data!$F21="higher",(Data!M21-1)/4,(5-Data!M21)/4)*100,IF($Q21=$P21,50,IF(Data!$F21="higher",(O21-$P21)/($Q21-$P21),($Q21-O21)/($Q21-$P21))*100))</f>
        <v>50</v>
      </c>
      <c r="J21" s="33" t="n">
        <f aca="false">IF(Data!$G21="log",LN(Data!H21),Data!H21)</f>
        <v>2</v>
      </c>
      <c r="K21" s="33" t="n">
        <f aca="false">IF(Data!$G21="log",LN(Data!I21),Data!I21)</f>
        <v>1</v>
      </c>
      <c r="L21" s="33" t="n">
        <f aca="false">IF(Data!$G21="log",LN(Data!J21),Data!J21)</f>
        <v>3</v>
      </c>
      <c r="M21" s="33" t="n">
        <f aca="false">IF(Data!$G21="log",LN(Data!K21),Data!K21)</f>
        <v>2</v>
      </c>
      <c r="N21" s="33" t="n">
        <f aca="false">IF(Data!$G21="log",LN(Data!L21),Data!L21)</f>
        <v>4</v>
      </c>
      <c r="O21" s="33" t="n">
        <f aca="false">IF(Data!$G21="log",LN(Data!M21),Data!M21)</f>
        <v>3</v>
      </c>
      <c r="P21" s="34" t="n">
        <f aca="false">MIN(J21:O21)</f>
        <v>1</v>
      </c>
      <c r="Q21" s="34" t="n">
        <f aca="false">MAX(J21:O21)</f>
        <v>4</v>
      </c>
    </row>
    <row r="22" customFormat="false" ht="15" hidden="false" customHeight="false" outlineLevel="0" collapsed="false">
      <c r="A22" s="14" t="s">
        <v>137</v>
      </c>
      <c r="B22" s="12" t="str">
        <f aca="false">Data!C22</f>
        <v>Bridging / behind-the-meter power feasibility (5 = best)</v>
      </c>
      <c r="C22" s="32" t="n">
        <f aca="false">IF(Data!$E22="rubric",IF(Data!$F22="higher",(Data!H22-1)/4,(5-Data!H22)/4)*100,IF($Q22=$P22,50,IF(Data!$F22="higher",(J22-$P22)/($Q22-$P22),($Q22-J22)/($Q22-$P22))*100))</f>
        <v>25</v>
      </c>
      <c r="D22" s="32" t="n">
        <f aca="false">IF(Data!$E22="rubric",IF(Data!$F22="higher",(Data!I22-1)/4,(5-Data!I22)/4)*100,IF($Q22=$P22,50,IF(Data!$F22="higher",(K22-$P22)/($Q22-$P22),($Q22-K22)/($Q22-$P22))*100))</f>
        <v>0</v>
      </c>
      <c r="E22" s="32" t="n">
        <f aca="false">IF(Data!$E22="rubric",IF(Data!$F22="higher",(Data!J22-1)/4,(5-Data!J22)/4)*100,IF($Q22=$P22,50,IF(Data!$F22="higher",(L22-$P22)/($Q22-$P22),($Q22-L22)/($Q22-$P22))*100))</f>
        <v>75</v>
      </c>
      <c r="F22" s="32" t="n">
        <f aca="false">IF(Data!$E22="rubric",IF(Data!$F22="higher",(Data!K22-1)/4,(5-Data!K22)/4)*100,IF($Q22=$P22,50,IF(Data!$F22="higher",(M22-$P22)/($Q22-$P22),($Q22-M22)/($Q22-$P22))*100))</f>
        <v>25</v>
      </c>
      <c r="G22" s="32" t="n">
        <f aca="false">IF(Data!$E22="rubric",IF(Data!$F22="higher",(Data!L22-1)/4,(5-Data!L22)/4)*100,IF($Q22=$P22,50,IF(Data!$F22="higher",(N22-$P22)/($Q22-$P22),($Q22-N22)/($Q22-$P22))*100))</f>
        <v>100</v>
      </c>
      <c r="H22" s="32" t="n">
        <f aca="false">IF(Data!$E22="rubric",IF(Data!$F22="higher",(Data!M22-1)/4,(5-Data!M22)/4)*100,IF($Q22=$P22,50,IF(Data!$F22="higher",(O22-$P22)/($Q22-$P22),($Q22-O22)/($Q22-$P22))*100))</f>
        <v>50</v>
      </c>
      <c r="J22" s="33" t="n">
        <f aca="false">IF(Data!$G22="log",LN(Data!H22),Data!H22)</f>
        <v>2</v>
      </c>
      <c r="K22" s="33" t="n">
        <f aca="false">IF(Data!$G22="log",LN(Data!I22),Data!I22)</f>
        <v>1</v>
      </c>
      <c r="L22" s="33" t="n">
        <f aca="false">IF(Data!$G22="log",LN(Data!J22),Data!J22)</f>
        <v>4</v>
      </c>
      <c r="M22" s="33" t="n">
        <f aca="false">IF(Data!$G22="log",LN(Data!K22),Data!K22)</f>
        <v>2</v>
      </c>
      <c r="N22" s="33" t="n">
        <f aca="false">IF(Data!$G22="log",LN(Data!L22),Data!L22)</f>
        <v>5</v>
      </c>
      <c r="O22" s="33" t="n">
        <f aca="false">IF(Data!$G22="log",LN(Data!M22),Data!M22)</f>
        <v>3</v>
      </c>
      <c r="P22" s="34" t="n">
        <f aca="false">MIN(J22:O22)</f>
        <v>1</v>
      </c>
      <c r="Q22" s="34" t="n">
        <f aca="false">MAX(J22:O22)</f>
        <v>5</v>
      </c>
    </row>
    <row r="24" customFormat="false" ht="15" hidden="false" customHeight="false" outlineLevel="0" collapsed="false">
      <c r="A24" s="3" t="s">
        <v>176</v>
      </c>
    </row>
    <row r="25" customFormat="false" ht="15" hidden="false" customHeight="false" outlineLevel="0" collapsed="false">
      <c r="A25" s="14" t="n">
        <v>1</v>
      </c>
      <c r="B25" s="12" t="str">
        <f aca="false">Weights!B5</f>
        <v>Power &amp; Grid</v>
      </c>
      <c r="C25" s="32" t="n">
        <f aca="false">SUMPRODUCT(C5:C8,Weights!$D$16:$D$19)/SUM(Weights!$D$16:$D$19)</f>
        <v>77.7743902439024</v>
      </c>
      <c r="D25" s="32" t="n">
        <f aca="false">SUMPRODUCT(D5:D8,Weights!$D$16:$D$19)/SUM(Weights!$D$16:$D$19)</f>
        <v>48.9634146341463</v>
      </c>
      <c r="E25" s="32" t="n">
        <f aca="false">SUMPRODUCT(E5:E8,Weights!$D$16:$D$19)/SUM(Weights!$D$16:$D$19)</f>
        <v>42.0426829268293</v>
      </c>
      <c r="F25" s="32" t="n">
        <f aca="false">SUMPRODUCT(F5:F8,Weights!$D$16:$D$19)/SUM(Weights!$D$16:$D$19)</f>
        <v>11.25</v>
      </c>
      <c r="G25" s="32" t="n">
        <f aca="false">SUMPRODUCT(G5:G8,Weights!$D$16:$D$19)/SUM(Weights!$D$16:$D$19)</f>
        <v>81.25</v>
      </c>
      <c r="H25" s="32" t="n">
        <f aca="false">SUMPRODUCT(H5:H8,Weights!$D$16:$D$19)/SUM(Weights!$D$16:$D$19)</f>
        <v>26.7987804878049</v>
      </c>
    </row>
    <row r="26" customFormat="false" ht="15" hidden="false" customHeight="false" outlineLevel="0" collapsed="false">
      <c r="A26" s="14" t="n">
        <v>2</v>
      </c>
      <c r="B26" s="12" t="str">
        <f aca="false">Weights!B6</f>
        <v>Market &amp; Pricing</v>
      </c>
      <c r="C26" s="32" t="n">
        <f aca="false">SUMPRODUCT(C9:C12,Weights!$D$20:$D$23)/SUM(Weights!$D$20:$D$23)</f>
        <v>80.018261329914</v>
      </c>
      <c r="D26" s="32" t="n">
        <f aca="false">SUMPRODUCT(D9:D12,Weights!$D$20:$D$23)/SUM(Weights!$D$20:$D$23)</f>
        <v>7.07607607607608</v>
      </c>
      <c r="E26" s="32" t="n">
        <f aca="false">SUMPRODUCT(E9:E12,Weights!$D$20:$D$23)/SUM(Weights!$D$20:$D$23)</f>
        <v>60.756569068781</v>
      </c>
      <c r="F26" s="32" t="n">
        <f aca="false">SUMPRODUCT(F9:F12,Weights!$D$20:$D$23)/SUM(Weights!$D$20:$D$23)</f>
        <v>35.1614047382485</v>
      </c>
      <c r="G26" s="32" t="n">
        <f aca="false">SUMPRODUCT(G9:G12,Weights!$D$20:$D$23)/SUM(Weights!$D$20:$D$23)</f>
        <v>78.9616123380988</v>
      </c>
      <c r="H26" s="32" t="n">
        <f aca="false">SUMPRODUCT(H9:H12,Weights!$D$20:$D$23)/SUM(Weights!$D$20:$D$23)</f>
        <v>58.6211924346166</v>
      </c>
    </row>
    <row r="27" customFormat="false" ht="15" hidden="false" customHeight="false" outlineLevel="0" collapsed="false">
      <c r="A27" s="14" t="n">
        <v>3</v>
      </c>
      <c r="B27" s="12" t="str">
        <f aca="false">Weights!B7</f>
        <v>Network &amp; Latency</v>
      </c>
      <c r="C27" s="32" t="n">
        <f aca="false">SUMPRODUCT(C13:C14,Weights!$D$24:$D$25)/SUM(Weights!$D$24:$D$25)</f>
        <v>29.7606286597455</v>
      </c>
      <c r="D27" s="32" t="n">
        <f aca="false">SUMPRODUCT(D13:D14,Weights!$D$24:$D$25)/SUM(Weights!$D$24:$D$25)</f>
        <v>37.5</v>
      </c>
      <c r="E27" s="32" t="n">
        <f aca="false">SUMPRODUCT(E13:E14,Weights!$D$24:$D$25)/SUM(Weights!$D$24:$D$25)</f>
        <v>48.9643136015723</v>
      </c>
      <c r="F27" s="32" t="n">
        <f aca="false">SUMPRODUCT(F13:F14,Weights!$D$24:$D$25)/SUM(Weights!$D$24:$D$25)</f>
        <v>97.4670639727395</v>
      </c>
      <c r="G27" s="32" t="n">
        <f aca="false">SUMPRODUCT(G13:G14,Weights!$D$24:$D$25)/SUM(Weights!$D$24:$D$25)</f>
        <v>82.1483175553674</v>
      </c>
      <c r="H27" s="32" t="n">
        <f aca="false">SUMPRODUCT(H13:H14,Weights!$D$24:$D$25)/SUM(Weights!$D$24:$D$25)</f>
        <v>75</v>
      </c>
    </row>
    <row r="28" customFormat="false" ht="15" hidden="false" customHeight="false" outlineLevel="0" collapsed="false">
      <c r="A28" s="14" t="n">
        <v>4</v>
      </c>
      <c r="B28" s="12" t="str">
        <f aca="false">Weights!B8</f>
        <v>Risk &amp; Resilience</v>
      </c>
      <c r="C28" s="32" t="n">
        <f aca="false">SUMPRODUCT(C15:C17,Weights!$D$26:$D$28)/SUM(Weights!$D$26:$D$28)</f>
        <v>66.25</v>
      </c>
      <c r="D28" s="32" t="n">
        <f aca="false">SUMPRODUCT(D15:D17,Weights!$D$26:$D$28)/SUM(Weights!$D$26:$D$28)</f>
        <v>40</v>
      </c>
      <c r="E28" s="32" t="n">
        <f aca="false">SUMPRODUCT(E15:E17,Weights!$D$26:$D$28)/SUM(Weights!$D$26:$D$28)</f>
        <v>17.5</v>
      </c>
      <c r="F28" s="32" t="n">
        <f aca="false">SUMPRODUCT(F15:F17,Weights!$D$26:$D$28)/SUM(Weights!$D$26:$D$28)</f>
        <v>50</v>
      </c>
      <c r="G28" s="32" t="n">
        <f aca="false">SUMPRODUCT(G15:G17,Weights!$D$26:$D$28)/SUM(Weights!$D$26:$D$28)</f>
        <v>32.5</v>
      </c>
      <c r="H28" s="32" t="n">
        <f aca="false">SUMPRODUCT(H15:H17,Weights!$D$26:$D$28)/SUM(Weights!$D$26:$D$28)</f>
        <v>73.75</v>
      </c>
    </row>
    <row r="29" customFormat="false" ht="15" hidden="false" customHeight="false" outlineLevel="0" collapsed="false">
      <c r="A29" s="14" t="n">
        <v>5</v>
      </c>
      <c r="B29" s="12" t="str">
        <f aca="false">Weights!B9</f>
        <v>Policy &amp; Incentives</v>
      </c>
      <c r="C29" s="32" t="n">
        <f aca="false">SUMPRODUCT(C18:C18,Weights!$D$29:$D$29)/SUM(Weights!$D$29:$D$29)</f>
        <v>50</v>
      </c>
      <c r="D29" s="32" t="n">
        <f aca="false">SUMPRODUCT(D18:D18,Weights!$D$29:$D$29)/SUM(Weights!$D$29:$D$29)</f>
        <v>0</v>
      </c>
      <c r="E29" s="32" t="n">
        <f aca="false">SUMPRODUCT(E18:E18,Weights!$D$29:$D$29)/SUM(Weights!$D$29:$D$29)</f>
        <v>0</v>
      </c>
      <c r="F29" s="32" t="n">
        <f aca="false">SUMPRODUCT(F18:F18,Weights!$D$29:$D$29)/SUM(Weights!$D$29:$D$29)</f>
        <v>75</v>
      </c>
      <c r="G29" s="32" t="n">
        <f aca="false">SUMPRODUCT(G18:G18,Weights!$D$29:$D$29)/SUM(Weights!$D$29:$D$29)</f>
        <v>75</v>
      </c>
      <c r="H29" s="32" t="n">
        <f aca="false">SUMPRODUCT(H18:H18,Weights!$D$29:$D$29)/SUM(Weights!$D$29:$D$29)</f>
        <v>0</v>
      </c>
    </row>
    <row r="30" customFormat="false" ht="15" hidden="false" customHeight="false" outlineLevel="0" collapsed="false">
      <c r="A30" s="14" t="n">
        <v>6</v>
      </c>
      <c r="B30" s="12" t="str">
        <f aca="false">Weights!B10</f>
        <v>Build &amp; Operations</v>
      </c>
      <c r="C30" s="32" t="n">
        <f aca="false">SUMPRODUCT(C19:C20,Weights!$D$30:$D$31)/SUM(Weights!$D$30:$D$31)</f>
        <v>50</v>
      </c>
      <c r="D30" s="32" t="n">
        <f aca="false">SUMPRODUCT(D19:D20,Weights!$D$30:$D$31)/SUM(Weights!$D$30:$D$31)</f>
        <v>62.5</v>
      </c>
      <c r="E30" s="32" t="n">
        <f aca="false">SUMPRODUCT(E19:E20,Weights!$D$30:$D$31)/SUM(Weights!$D$30:$D$31)</f>
        <v>37.5</v>
      </c>
      <c r="F30" s="32" t="n">
        <f aca="false">SUMPRODUCT(F19:F20,Weights!$D$30:$D$31)/SUM(Weights!$D$30:$D$31)</f>
        <v>50</v>
      </c>
      <c r="G30" s="32" t="n">
        <f aca="false">SUMPRODUCT(G19:G20,Weights!$D$30:$D$31)/SUM(Weights!$D$30:$D$31)</f>
        <v>62.5</v>
      </c>
      <c r="H30" s="32" t="n">
        <f aca="false">SUMPRODUCT(H19:H20,Weights!$D$30:$D$31)/SUM(Weights!$D$30:$D$31)</f>
        <v>50</v>
      </c>
    </row>
    <row r="31" customFormat="false" ht="15" hidden="false" customHeight="false" outlineLevel="0" collapsed="false">
      <c r="A31" s="14" t="n">
        <v>7</v>
      </c>
      <c r="B31" s="12" t="str">
        <f aca="false">Weights!B11</f>
        <v>Growth Headroom</v>
      </c>
      <c r="C31" s="32" t="n">
        <f aca="false">SUMPRODUCT(C21:C22,Weights!$D$32:$D$33)/SUM(Weights!$D$32:$D$33)</f>
        <v>25</v>
      </c>
      <c r="D31" s="32" t="n">
        <f aca="false">SUMPRODUCT(D21:D22,Weights!$D$32:$D$33)/SUM(Weights!$D$32:$D$33)</f>
        <v>0</v>
      </c>
      <c r="E31" s="32" t="n">
        <f aca="false">SUMPRODUCT(E21:E22,Weights!$D$32:$D$33)/SUM(Weights!$D$32:$D$33)</f>
        <v>60</v>
      </c>
      <c r="F31" s="32" t="n">
        <f aca="false">SUMPRODUCT(F21:F22,Weights!$D$32:$D$33)/SUM(Weights!$D$32:$D$33)</f>
        <v>25</v>
      </c>
      <c r="G31" s="32" t="n">
        <f aca="false">SUMPRODUCT(G21:G22,Weights!$D$32:$D$33)/SUM(Weights!$D$32:$D$33)</f>
        <v>85</v>
      </c>
      <c r="H31" s="32" t="n">
        <f aca="false">SUMPRODUCT(H21:H22,Weights!$D$32:$D$33)/SUM(Weights!$D$32:$D$33)</f>
        <v>50</v>
      </c>
    </row>
    <row r="33" customFormat="false" ht="15" hidden="false" customHeight="false" outlineLevel="0" collapsed="false">
      <c r="B33" s="3" t="s">
        <v>177</v>
      </c>
      <c r="C33" s="35" t="n">
        <f aca="false">SUMPRODUCT(Weights!$J$5:$J$11,C25:C31)</f>
        <v>61.844744778323</v>
      </c>
      <c r="D33" s="35" t="n">
        <f aca="false">SUMPRODUCT(Weights!$J$5:$J$11,D25:D31)</f>
        <v>29.7292396054591</v>
      </c>
      <c r="E33" s="35" t="n">
        <f aca="false">SUMPRODUCT(Weights!$J$5:$J$11,E25:E31)</f>
        <v>41.1398363239937</v>
      </c>
      <c r="F33" s="35" t="n">
        <f aca="false">SUMPRODUCT(Weights!$J$5:$J$11,F25:F31)</f>
        <v>40.6033286243784</v>
      </c>
      <c r="G33" s="35" t="n">
        <f aca="false">SUMPRODUCT(Weights!$J$5:$J$11,G25:G31)</f>
        <v>72.5251205742639</v>
      </c>
      <c r="H33" s="35" t="n">
        <f aca="false">SUMPRODUCT(Weights!$J$5:$J$11,H25:H31)</f>
        <v>47.3263726332648</v>
      </c>
    </row>
    <row r="34" customFormat="false" ht="15" hidden="false" customHeight="false" outlineLevel="0" collapsed="false">
      <c r="B34" s="3" t="s">
        <v>178</v>
      </c>
      <c r="C34" s="36" t="n">
        <f aca="false">RANK(C33,$C$33:$H$33)</f>
        <v>2</v>
      </c>
      <c r="D34" s="36" t="n">
        <f aca="false">RANK(D33,$C$33:$H$33)</f>
        <v>6</v>
      </c>
      <c r="E34" s="36" t="n">
        <f aca="false">RANK(E33,$C$33:$H$33)</f>
        <v>4</v>
      </c>
      <c r="F34" s="36" t="n">
        <f aca="false">RANK(F33,$C$33:$H$33)</f>
        <v>5</v>
      </c>
      <c r="G34" s="36" t="n">
        <f aca="false">RANK(G33,$C$33:$H$33)</f>
        <v>1</v>
      </c>
      <c r="H34" s="36" t="n">
        <f aca="false">RANK(H33,$C$33:$H$33)</f>
        <v>3</v>
      </c>
    </row>
    <row r="35" customFormat="false" ht="15" hidden="false" customHeight="false" outlineLevel="0" collapsed="false">
      <c r="B35" s="2" t="s">
        <v>179</v>
      </c>
      <c r="C35" s="37" t="n">
        <f aca="false">ROUND(SUMPRODUCT(C5:C22,Weights!$L$16:$L$33)-C33,6)</f>
        <v>0</v>
      </c>
      <c r="D35" s="37" t="n">
        <f aca="false">ROUND(SUMPRODUCT(D5:D22,Weights!$L$16:$L$33)-D33,6)</f>
        <v>0</v>
      </c>
      <c r="E35" s="37" t="n">
        <f aca="false">ROUND(SUMPRODUCT(E5:E22,Weights!$L$16:$L$33)-E33,6)</f>
        <v>0</v>
      </c>
      <c r="F35" s="37" t="n">
        <f aca="false">ROUND(SUMPRODUCT(F5:F22,Weights!$L$16:$L$33)-F33,6)</f>
        <v>0</v>
      </c>
      <c r="G35" s="37" t="n">
        <f aca="false">ROUND(SUMPRODUCT(G5:G22,Weights!$L$16:$L$33)-G33,6)</f>
        <v>0</v>
      </c>
      <c r="H35" s="37" t="n">
        <f aca="false">ROUND(SUMPRODUCT(H5:H22,Weights!$L$16:$L$33)-H33,6)</f>
        <v>0</v>
      </c>
    </row>
  </sheetData>
  <conditionalFormatting sqref="C5:H22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C25:H31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7"/>
    <col collapsed="false" customWidth="true" hidden="false" outlineLevel="0" max="9" min="8" style="0" width="22"/>
    <col collapsed="false" customWidth="true" hidden="false" outlineLevel="0" max="13" min="10" style="0" width="17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2" t="s">
        <v>181</v>
      </c>
    </row>
    <row r="3" customFormat="false" ht="15" hidden="false" customHeight="false" outlineLevel="0" collapsed="false">
      <c r="A3" s="3" t="s">
        <v>182</v>
      </c>
    </row>
    <row r="4" customFormat="false" ht="31.5" hidden="false" customHeight="true" outlineLevel="0" collapsed="false">
      <c r="A4" s="6" t="s">
        <v>5</v>
      </c>
      <c r="B4" s="6" t="s">
        <v>3</v>
      </c>
      <c r="C4" s="6" t="s">
        <v>146</v>
      </c>
      <c r="D4" s="6" t="s">
        <v>147</v>
      </c>
      <c r="E4" s="6" t="s">
        <v>148</v>
      </c>
      <c r="F4" s="6" t="s">
        <v>149</v>
      </c>
      <c r="G4" s="6" t="s">
        <v>150</v>
      </c>
      <c r="H4" s="6" t="s">
        <v>151</v>
      </c>
    </row>
    <row r="5" customFormat="false" ht="15" hidden="false" customHeight="false" outlineLevel="0" collapsed="false">
      <c r="A5" s="3" t="s">
        <v>8</v>
      </c>
      <c r="B5" s="8" t="n">
        <f aca="false">SUMPRODUCT(Weights!C$5:C$11,Scoring!C$25:C$31)</f>
        <v>61.844744778323</v>
      </c>
      <c r="C5" s="8" t="n">
        <f aca="false">SUMPRODUCT(Weights!D$5:D$11,Scoring!C$25:C$31)</f>
        <v>64.8320651020228</v>
      </c>
      <c r="D5" s="8" t="n">
        <f aca="false">SUMPRODUCT(Weights!E$5:E$11,Scoring!C$25:C$31)</f>
        <v>52.9358058461912</v>
      </c>
      <c r="E5" s="8" t="n">
        <f aca="false">SUMPRODUCT(Weights!F$5:F$11,Scoring!C$25:C$31)</f>
        <v>63.9549262527294</v>
      </c>
      <c r="F5" s="8" t="n">
        <f aca="false">SUMPRODUCT(Weights!G$5:G$11,Scoring!C$25:C$31)</f>
        <v>60.6434075060279</v>
      </c>
      <c r="G5" s="8" t="n">
        <f aca="false">SUMPRODUCT(Weights!H$5:H$11,Scoring!C$25:C$31)</f>
        <v>63.5016647838189</v>
      </c>
      <c r="H5" s="8" t="n">
        <f aca="false">SUMPRODUCT(Weights!I$5:I$11,Scoring!C$25:C$31)</f>
        <v>61.844744778323</v>
      </c>
    </row>
    <row r="6" customFormat="false" ht="15" hidden="false" customHeight="false" outlineLevel="0" collapsed="false">
      <c r="A6" s="3" t="s">
        <v>9</v>
      </c>
      <c r="B6" s="8" t="n">
        <f aca="false">SUMPRODUCT(Weights!C$5:C$11,Scoring!D$25:D$31)</f>
        <v>29.7292396054591</v>
      </c>
      <c r="C6" s="8" t="n">
        <f aca="false">SUMPRODUCT(Weights!D$5:D$11,Scoring!D$25:D$31)</f>
        <v>33.3949479967773</v>
      </c>
      <c r="D6" s="8" t="n">
        <f aca="false">SUMPRODUCT(Weights!E$5:E$11,Scoring!D$25:D$31)</f>
        <v>30.0290943382407</v>
      </c>
      <c r="E6" s="8" t="n">
        <f aca="false">SUMPRODUCT(Weights!F$5:F$11,Scoring!D$25:D$31)</f>
        <v>23.8636764813594</v>
      </c>
      <c r="F6" s="8" t="n">
        <f aca="false">SUMPRODUCT(Weights!G$5:G$11,Scoring!D$25:D$31)</f>
        <v>28.3210803486413</v>
      </c>
      <c r="G6" s="8" t="n">
        <f aca="false">SUMPRODUCT(Weights!H$5:H$11,Scoring!D$25:D$31)</f>
        <v>28.3562141409702</v>
      </c>
      <c r="H6" s="8" t="n">
        <f aca="false">SUMPRODUCT(Weights!I$5:I$11,Scoring!D$25:D$31)</f>
        <v>29.7292396054591</v>
      </c>
    </row>
    <row r="7" customFormat="false" ht="15" hidden="false" customHeight="false" outlineLevel="0" collapsed="false">
      <c r="A7" s="3" t="s">
        <v>10</v>
      </c>
      <c r="B7" s="8" t="n">
        <f aca="false">SUMPRODUCT(Weights!C$5:C$11,Scoring!E$25:E$31)</f>
        <v>41.1398363239937</v>
      </c>
      <c r="C7" s="8" t="n">
        <f aca="false">SUMPRODUCT(Weights!D$5:D$11,Scoring!E$25:E$31)</f>
        <v>41.5498377655161</v>
      </c>
      <c r="D7" s="8" t="n">
        <f aca="false">SUMPRODUCT(Weights!E$5:E$11,Scoring!E$25:E$31)</f>
        <v>43.3863160261547</v>
      </c>
      <c r="E7" s="8" t="n">
        <f aca="false">SUMPRODUCT(Weights!F$5:F$11,Scoring!E$25:E$31)</f>
        <v>40.7047865404674</v>
      </c>
      <c r="F7" s="8" t="n">
        <f aca="false">SUMPRODUCT(Weights!G$5:G$11,Scoring!E$25:E$31)</f>
        <v>31.6573236202819</v>
      </c>
      <c r="G7" s="8" t="n">
        <f aca="false">SUMPRODUCT(Weights!H$5:H$11,Scoring!E$25:E$31)</f>
        <v>44.9005126517427</v>
      </c>
      <c r="H7" s="8" t="n">
        <f aca="false">SUMPRODUCT(Weights!I$5:I$11,Scoring!E$25:E$31)</f>
        <v>41.1398363239937</v>
      </c>
    </row>
    <row r="8" customFormat="false" ht="15" hidden="false" customHeight="false" outlineLevel="0" collapsed="false">
      <c r="A8" s="3" t="s">
        <v>11</v>
      </c>
      <c r="B8" s="8" t="n">
        <f aca="false">SUMPRODUCT(Weights!C$5:C$11,Scoring!F$25:F$31)</f>
        <v>40.6033286243784</v>
      </c>
      <c r="C8" s="8" t="n">
        <f aca="false">SUMPRODUCT(Weights!D$5:D$11,Scoring!F$25:F$31)</f>
        <v>33.1340758285564</v>
      </c>
      <c r="D8" s="8" t="n">
        <f aca="false">SUMPRODUCT(Weights!E$5:E$11,Scoring!F$25:F$31)</f>
        <v>52.7643299025591</v>
      </c>
      <c r="E8" s="8" t="n">
        <f aca="false">SUMPRODUCT(Weights!F$5:F$11,Scoring!F$25:F$31)</f>
        <v>41.4082865392937</v>
      </c>
      <c r="F8" s="8" t="n">
        <f aca="false">SUMPRODUCT(Weights!G$5:G$11,Scoring!F$25:F$31)</f>
        <v>45.991733686409</v>
      </c>
      <c r="G8" s="8" t="n">
        <f aca="false">SUMPRODUCT(Weights!H$5:H$11,Scoring!F$25:F$31)</f>
        <v>35.9745575818361</v>
      </c>
      <c r="H8" s="8" t="n">
        <f aca="false">SUMPRODUCT(Weights!I$5:I$11,Scoring!F$25:F$31)</f>
        <v>40.6033286243784</v>
      </c>
    </row>
    <row r="9" customFormat="false" ht="15" hidden="false" customHeight="false" outlineLevel="0" collapsed="false">
      <c r="A9" s="3" t="s">
        <v>12</v>
      </c>
      <c r="B9" s="8" t="n">
        <f aca="false">SUMPRODUCT(Weights!C$5:C$11,Scoring!G$25:G$31)</f>
        <v>72.5251205742639</v>
      </c>
      <c r="C9" s="8" t="n">
        <f aca="false">SUMPRODUCT(Weights!D$5:D$11,Scoring!G$25:G$31)</f>
        <v>74.3786072551442</v>
      </c>
      <c r="D9" s="8" t="n">
        <f aca="false">SUMPRODUCT(Weights!E$5:E$11,Scoring!G$25:G$31)</f>
        <v>74.4637371173251</v>
      </c>
      <c r="E9" s="8" t="n">
        <f aca="false">SUMPRODUCT(Weights!F$5:F$11,Scoring!G$25:G$31)</f>
        <v>74.372849105859</v>
      </c>
      <c r="F9" s="8" t="n">
        <f aca="false">SUMPRODUCT(Weights!G$5:G$11,Scoring!G$25:G$31)</f>
        <v>65.8222588850013</v>
      </c>
      <c r="G9" s="8" t="n">
        <f aca="false">SUMPRODUCT(Weights!H$5:H$11,Scoring!G$25:G$31)</f>
        <v>76.1927348400614</v>
      </c>
      <c r="H9" s="8" t="n">
        <f aca="false">SUMPRODUCT(Weights!I$5:I$11,Scoring!G$25:G$31)</f>
        <v>72.5251205742639</v>
      </c>
    </row>
    <row r="10" customFormat="false" ht="15" hidden="false" customHeight="false" outlineLevel="0" collapsed="false">
      <c r="A10" s="3" t="s">
        <v>13</v>
      </c>
      <c r="B10" s="8" t="n">
        <f aca="false">SUMPRODUCT(Weights!C$5:C$11,Scoring!H$25:H$31)</f>
        <v>47.3263726332648</v>
      </c>
      <c r="C10" s="8" t="n">
        <f aca="false">SUMPRODUCT(Weights!D$5:D$11,Scoring!H$25:H$31)</f>
        <v>42.7026300847047</v>
      </c>
      <c r="D10" s="8" t="n">
        <f aca="false">SUMPRODUCT(Weights!E$5:E$11,Scoring!H$25:H$31)</f>
        <v>54.0029349627535</v>
      </c>
      <c r="E10" s="8" t="n">
        <f aca="false">SUMPRODUCT(Weights!F$5:F$11,Scoring!H$25:H$31)</f>
        <v>43.6610528523362</v>
      </c>
      <c r="F10" s="8" t="n">
        <f aca="false">SUMPRODUCT(Weights!G$5:G$11,Scoring!H$25:H$31)</f>
        <v>45.5802747994711</v>
      </c>
      <c r="G10" s="8" t="n">
        <f aca="false">SUMPRODUCT(Weights!H$5:H$11,Scoring!H$25:H$31)</f>
        <v>45.4348712793858</v>
      </c>
      <c r="H10" s="8" t="n">
        <f aca="false">SUMPRODUCT(Weights!I$5:I$11,Scoring!H$25:H$31)</f>
        <v>47.3263726332648</v>
      </c>
    </row>
    <row r="12" customFormat="false" ht="15" hidden="false" customHeight="false" outlineLevel="0" collapsed="false">
      <c r="A12" s="3" t="s">
        <v>183</v>
      </c>
    </row>
    <row r="13" customFormat="false" ht="31.5" hidden="false" customHeight="true" outlineLevel="0" collapsed="false">
      <c r="A13" s="6" t="s">
        <v>5</v>
      </c>
      <c r="B13" s="6" t="s">
        <v>3</v>
      </c>
      <c r="C13" s="6" t="s">
        <v>146</v>
      </c>
      <c r="D13" s="6" t="s">
        <v>147</v>
      </c>
      <c r="E13" s="6" t="s">
        <v>148</v>
      </c>
      <c r="F13" s="6" t="s">
        <v>149</v>
      </c>
      <c r="G13" s="6" t="s">
        <v>150</v>
      </c>
      <c r="H13" s="6" t="s">
        <v>151</v>
      </c>
      <c r="J13" s="6" t="s">
        <v>184</v>
      </c>
      <c r="K13" s="6" t="s">
        <v>185</v>
      </c>
      <c r="L13" s="6" t="s">
        <v>186</v>
      </c>
      <c r="M13" s="6" t="s">
        <v>187</v>
      </c>
    </row>
    <row r="14" customFormat="false" ht="15" hidden="false" customHeight="false" outlineLevel="0" collapsed="false">
      <c r="A14" s="3" t="s">
        <v>8</v>
      </c>
      <c r="B14" s="10" t="n">
        <f aca="false">RANK(B5,B$5:B$10)</f>
        <v>2</v>
      </c>
      <c r="C14" s="10" t="n">
        <f aca="false">RANK(C5,C$5:C$10)</f>
        <v>2</v>
      </c>
      <c r="D14" s="10" t="n">
        <f aca="false">RANK(D5,D$5:D$10)</f>
        <v>3</v>
      </c>
      <c r="E14" s="10" t="n">
        <f aca="false">RANK(E5,E$5:E$10)</f>
        <v>2</v>
      </c>
      <c r="F14" s="10" t="n">
        <f aca="false">RANK(F5,F$5:F$10)</f>
        <v>2</v>
      </c>
      <c r="G14" s="10" t="n">
        <f aca="false">RANK(G5,G$5:G$10)</f>
        <v>2</v>
      </c>
      <c r="H14" s="10" t="n">
        <f aca="false">RANK(H5,H$5:H$10)</f>
        <v>2</v>
      </c>
      <c r="J14" s="10" t="n">
        <f aca="false">MIN(B14:G14)</f>
        <v>2</v>
      </c>
      <c r="K14" s="10" t="n">
        <f aca="false">MAX(B14:G14)</f>
        <v>3</v>
      </c>
      <c r="L14" s="11" t="n">
        <f aca="false">AVERAGE(B14:G14)</f>
        <v>2.16666666666667</v>
      </c>
      <c r="M14" s="10" t="n">
        <f aca="false">COUNTIF(B14:G14,1)</f>
        <v>0</v>
      </c>
    </row>
    <row r="15" customFormat="false" ht="15" hidden="false" customHeight="false" outlineLevel="0" collapsed="false">
      <c r="A15" s="3" t="s">
        <v>9</v>
      </c>
      <c r="B15" s="10" t="n">
        <f aca="false">RANK(B6,B$5:B$10)</f>
        <v>6</v>
      </c>
      <c r="C15" s="10" t="n">
        <f aca="false">RANK(C6,C$5:C$10)</f>
        <v>5</v>
      </c>
      <c r="D15" s="10" t="n">
        <f aca="false">RANK(D6,D$5:D$10)</f>
        <v>6</v>
      </c>
      <c r="E15" s="10" t="n">
        <f aca="false">RANK(E6,E$5:E$10)</f>
        <v>6</v>
      </c>
      <c r="F15" s="10" t="n">
        <f aca="false">RANK(F6,F$5:F$10)</f>
        <v>6</v>
      </c>
      <c r="G15" s="10" t="n">
        <f aca="false">RANK(G6,G$5:G$10)</f>
        <v>6</v>
      </c>
      <c r="H15" s="10" t="n">
        <f aca="false">RANK(H6,H$5:H$10)</f>
        <v>6</v>
      </c>
      <c r="J15" s="10" t="n">
        <f aca="false">MIN(B15:G15)</f>
        <v>5</v>
      </c>
      <c r="K15" s="10" t="n">
        <f aca="false">MAX(B15:G15)</f>
        <v>6</v>
      </c>
      <c r="L15" s="11" t="n">
        <f aca="false">AVERAGE(B15:G15)</f>
        <v>5.83333333333333</v>
      </c>
      <c r="M15" s="10" t="n">
        <f aca="false">COUNTIF(B15:G15,1)</f>
        <v>0</v>
      </c>
    </row>
    <row r="16" customFormat="false" ht="15" hidden="false" customHeight="false" outlineLevel="0" collapsed="false">
      <c r="A16" s="3" t="s">
        <v>10</v>
      </c>
      <c r="B16" s="10" t="n">
        <f aca="false">RANK(B7,B$5:B$10)</f>
        <v>4</v>
      </c>
      <c r="C16" s="10" t="n">
        <f aca="false">RANK(C7,C$5:C$10)</f>
        <v>4</v>
      </c>
      <c r="D16" s="10" t="n">
        <f aca="false">RANK(D7,D$5:D$10)</f>
        <v>5</v>
      </c>
      <c r="E16" s="10" t="n">
        <f aca="false">RANK(E7,E$5:E$10)</f>
        <v>5</v>
      </c>
      <c r="F16" s="10" t="n">
        <f aca="false">RANK(F7,F$5:F$10)</f>
        <v>5</v>
      </c>
      <c r="G16" s="10" t="n">
        <f aca="false">RANK(G7,G$5:G$10)</f>
        <v>4</v>
      </c>
      <c r="H16" s="10" t="n">
        <f aca="false">RANK(H7,H$5:H$10)</f>
        <v>4</v>
      </c>
      <c r="J16" s="10" t="n">
        <f aca="false">MIN(B16:G16)</f>
        <v>4</v>
      </c>
      <c r="K16" s="10" t="n">
        <f aca="false">MAX(B16:G16)</f>
        <v>5</v>
      </c>
      <c r="L16" s="11" t="n">
        <f aca="false">AVERAGE(B16:G16)</f>
        <v>4.5</v>
      </c>
      <c r="M16" s="10" t="n">
        <f aca="false">COUNTIF(B16:G16,1)</f>
        <v>0</v>
      </c>
    </row>
    <row r="17" customFormat="false" ht="15" hidden="false" customHeight="false" outlineLevel="0" collapsed="false">
      <c r="A17" s="3" t="s">
        <v>11</v>
      </c>
      <c r="B17" s="10" t="n">
        <f aca="false">RANK(B8,B$5:B$10)</f>
        <v>5</v>
      </c>
      <c r="C17" s="10" t="n">
        <f aca="false">RANK(C8,C$5:C$10)</f>
        <v>6</v>
      </c>
      <c r="D17" s="10" t="n">
        <f aca="false">RANK(D8,D$5:D$10)</f>
        <v>4</v>
      </c>
      <c r="E17" s="10" t="n">
        <f aca="false">RANK(E8,E$5:E$10)</f>
        <v>4</v>
      </c>
      <c r="F17" s="10" t="n">
        <f aca="false">RANK(F8,F$5:F$10)</f>
        <v>3</v>
      </c>
      <c r="G17" s="10" t="n">
        <f aca="false">RANK(G8,G$5:G$10)</f>
        <v>5</v>
      </c>
      <c r="H17" s="10" t="n">
        <f aca="false">RANK(H8,H$5:H$10)</f>
        <v>5</v>
      </c>
      <c r="J17" s="10" t="n">
        <f aca="false">MIN(B17:G17)</f>
        <v>3</v>
      </c>
      <c r="K17" s="10" t="n">
        <f aca="false">MAX(B17:G17)</f>
        <v>6</v>
      </c>
      <c r="L17" s="11" t="n">
        <f aca="false">AVERAGE(B17:G17)</f>
        <v>4.5</v>
      </c>
      <c r="M17" s="10" t="n">
        <f aca="false">COUNTIF(B17:G17,1)</f>
        <v>0</v>
      </c>
    </row>
    <row r="18" customFormat="false" ht="15" hidden="false" customHeight="false" outlineLevel="0" collapsed="false">
      <c r="A18" s="3" t="s">
        <v>12</v>
      </c>
      <c r="B18" s="10" t="n">
        <f aca="false">RANK(B9,B$5:B$10)</f>
        <v>1</v>
      </c>
      <c r="C18" s="10" t="n">
        <f aca="false">RANK(C9,C$5:C$10)</f>
        <v>1</v>
      </c>
      <c r="D18" s="10" t="n">
        <f aca="false">RANK(D9,D$5:D$10)</f>
        <v>1</v>
      </c>
      <c r="E18" s="10" t="n">
        <f aca="false">RANK(E9,E$5:E$10)</f>
        <v>1</v>
      </c>
      <c r="F18" s="10" t="n">
        <f aca="false">RANK(F9,F$5:F$10)</f>
        <v>1</v>
      </c>
      <c r="G18" s="10" t="n">
        <f aca="false">RANK(G9,G$5:G$10)</f>
        <v>1</v>
      </c>
      <c r="H18" s="10" t="n">
        <f aca="false">RANK(H9,H$5:H$10)</f>
        <v>1</v>
      </c>
      <c r="J18" s="10" t="n">
        <f aca="false">MIN(B18:G18)</f>
        <v>1</v>
      </c>
      <c r="K18" s="10" t="n">
        <f aca="false">MAX(B18:G18)</f>
        <v>1</v>
      </c>
      <c r="L18" s="11" t="n">
        <f aca="false">AVERAGE(B18:G18)</f>
        <v>1</v>
      </c>
      <c r="M18" s="10" t="n">
        <f aca="false">COUNTIF(B18:G18,1)</f>
        <v>6</v>
      </c>
    </row>
    <row r="19" customFormat="false" ht="15" hidden="false" customHeight="false" outlineLevel="0" collapsed="false">
      <c r="A19" s="3" t="s">
        <v>13</v>
      </c>
      <c r="B19" s="10" t="n">
        <f aca="false">RANK(B10,B$5:B$10)</f>
        <v>3</v>
      </c>
      <c r="C19" s="10" t="n">
        <f aca="false">RANK(C10,C$5:C$10)</f>
        <v>3</v>
      </c>
      <c r="D19" s="10" t="n">
        <f aca="false">RANK(D10,D$5:D$10)</f>
        <v>2</v>
      </c>
      <c r="E19" s="10" t="n">
        <f aca="false">RANK(E10,E$5:E$10)</f>
        <v>3</v>
      </c>
      <c r="F19" s="10" t="n">
        <f aca="false">RANK(F10,F$5:F$10)</f>
        <v>4</v>
      </c>
      <c r="G19" s="10" t="n">
        <f aca="false">RANK(G10,G$5:G$10)</f>
        <v>3</v>
      </c>
      <c r="H19" s="10" t="n">
        <f aca="false">RANK(H10,H$5:H$10)</f>
        <v>3</v>
      </c>
      <c r="J19" s="10" t="n">
        <f aca="false">MIN(B19:G19)</f>
        <v>2</v>
      </c>
      <c r="K19" s="10" t="n">
        <f aca="false">MAX(B19:G19)</f>
        <v>4</v>
      </c>
      <c r="L19" s="11" t="n">
        <f aca="false">AVERAGE(B19:G19)</f>
        <v>3</v>
      </c>
      <c r="M19" s="10" t="n">
        <f aca="false">COUNTIF(B19:G19,1)</f>
        <v>0</v>
      </c>
    </row>
    <row r="20" customFormat="false" ht="15" hidden="false" customHeight="false" outlineLevel="0" collapsed="false">
      <c r="J20" s="2" t="s">
        <v>188</v>
      </c>
    </row>
    <row r="22" customFormat="false" ht="15" hidden="false" customHeight="false" outlineLevel="0" collapsed="false">
      <c r="A22" s="3" t="s">
        <v>189</v>
      </c>
    </row>
    <row r="23" customFormat="false" ht="31.5" hidden="false" customHeight="true" outlineLevel="0" collapsed="false">
      <c r="A23" s="6" t="s">
        <v>190</v>
      </c>
      <c r="B23" s="6" t="s">
        <v>8</v>
      </c>
      <c r="C23" s="6" t="s">
        <v>9</v>
      </c>
      <c r="D23" s="6" t="s">
        <v>10</v>
      </c>
      <c r="E23" s="6" t="s">
        <v>11</v>
      </c>
      <c r="F23" s="6" t="s">
        <v>12</v>
      </c>
      <c r="G23" s="6" t="s">
        <v>13</v>
      </c>
      <c r="H23" s="6" t="s">
        <v>191</v>
      </c>
    </row>
    <row r="24" customFormat="false" ht="15" hidden="false" customHeight="false" outlineLevel="0" collapsed="false">
      <c r="A24" s="38" t="n">
        <v>0.1</v>
      </c>
      <c r="B24" s="11" t="n">
        <f aca="false">$A24*Scoring!C$25+(1-$A24)/(1-Weights!$C$5)*($B$5-Weights!$C$5*Scoring!C$25)</f>
        <v>57.2934175024432</v>
      </c>
      <c r="C24" s="11" t="n">
        <f aca="false">$A24*Scoring!D$25+(1-$A24)/(1-Weights!$C$5)*($B$6-Weights!$C$5*Scoring!D$25)</f>
        <v>24.2337610258342</v>
      </c>
      <c r="D24" s="11" t="n">
        <f aca="false">$A24*Scoring!E$25+(1-$A24)/(1-Weights!$C$5)*($B$7-Weights!$C$5*Scoring!E$25)</f>
        <v>40.8818801517549</v>
      </c>
      <c r="E24" s="11" t="n">
        <f aca="false">$A24*Scoring!F$25+(1-$A24)/(1-Weights!$C$5)*($B$8-Weights!$C$5*Scoring!F$25)</f>
        <v>48.9899939456294</v>
      </c>
      <c r="F24" s="11" t="n">
        <f aca="false">$A24*Scoring!G$25+(1-$A24)/(1-Weights!$C$5)*($B$9-Weights!$C$5*Scoring!G$25)</f>
        <v>70.0322978811964</v>
      </c>
      <c r="G24" s="11" t="n">
        <f aca="false">$A24*Scoring!H$25+(1-$A24)/(1-Weights!$C$5)*($B$10-Weights!$C$5*Scoring!H$25)</f>
        <v>53.191398960539</v>
      </c>
      <c r="H24" s="36" t="str">
        <f aca="false">INDEX($B$23:$G$23,MATCH(MAX(B24:G24),B24:G24,0))</f>
        <v>Dallas-Fort Worth, TX</v>
      </c>
    </row>
    <row r="25" customFormat="false" ht="15" hidden="false" customHeight="false" outlineLevel="0" collapsed="false">
      <c r="A25" s="38" t="n">
        <v>0.15</v>
      </c>
      <c r="B25" s="11" t="n">
        <f aca="false">$A25*Scoring!C$25+(1-$A25)/(1-Weights!$C$5)*($B$5-Weights!$C$5*Scoring!C$25)</f>
        <v>58.4312493214131</v>
      </c>
      <c r="C25" s="11" t="n">
        <f aca="false">$A25*Scoring!D$25+(1-$A25)/(1-Weights!$C$5)*($B$6-Weights!$C$5*Scoring!D$25)</f>
        <v>25.6076306707404</v>
      </c>
      <c r="D25" s="11" t="n">
        <f aca="false">$A25*Scoring!E$25+(1-$A25)/(1-Weights!$C$5)*($B$7-Weights!$C$5*Scoring!E$25)</f>
        <v>40.9463691948146</v>
      </c>
      <c r="E25" s="11" t="n">
        <f aca="false">$A25*Scoring!F$25+(1-$A25)/(1-Weights!$C$5)*($B$8-Weights!$C$5*Scoring!F$25)</f>
        <v>46.8933276153167</v>
      </c>
      <c r="F25" s="11" t="n">
        <f aca="false">$A25*Scoring!G$25+(1-$A25)/(1-Weights!$C$5)*($B$9-Weights!$C$5*Scoring!G$25)</f>
        <v>70.6555035544633</v>
      </c>
      <c r="G25" s="11" t="n">
        <f aca="false">$A25*Scoring!H$25+(1-$A25)/(1-Weights!$C$5)*($B$10-Weights!$C$5*Scoring!H$25)</f>
        <v>51.7251423787205</v>
      </c>
      <c r="H25" s="36" t="str">
        <f aca="false">INDEX($B$23:$G$23,MATCH(MAX(B25:G25),B25:G25,0))</f>
        <v>Dallas-Fort Worth, TX</v>
      </c>
    </row>
    <row r="26" customFormat="false" ht="15" hidden="false" customHeight="false" outlineLevel="0" collapsed="false">
      <c r="A26" s="38" t="n">
        <v>0.2</v>
      </c>
      <c r="B26" s="11" t="n">
        <f aca="false">$A26*Scoring!C$25+(1-$A26)/(1-Weights!$C$5)*($B$5-Weights!$C$5*Scoring!C$25)</f>
        <v>59.5690811403831</v>
      </c>
      <c r="C26" s="11" t="n">
        <f aca="false">$A26*Scoring!D$25+(1-$A26)/(1-Weights!$C$5)*($B$6-Weights!$C$5*Scoring!D$25)</f>
        <v>26.9815003156467</v>
      </c>
      <c r="D26" s="11" t="n">
        <f aca="false">$A26*Scoring!E$25+(1-$A26)/(1-Weights!$C$5)*($B$7-Weights!$C$5*Scoring!E$25)</f>
        <v>41.0108582378743</v>
      </c>
      <c r="E26" s="11" t="n">
        <f aca="false">$A26*Scoring!F$25+(1-$A26)/(1-Weights!$C$5)*($B$8-Weights!$C$5*Scoring!F$25)</f>
        <v>44.7966612850039</v>
      </c>
      <c r="F26" s="11" t="n">
        <f aca="false">$A26*Scoring!G$25+(1-$A26)/(1-Weights!$C$5)*($B$9-Weights!$C$5*Scoring!G$25)</f>
        <v>71.2787092277301</v>
      </c>
      <c r="G26" s="11" t="n">
        <f aca="false">$A26*Scoring!H$25+(1-$A26)/(1-Weights!$C$5)*($B$10-Weights!$C$5*Scoring!H$25)</f>
        <v>50.2588857969019</v>
      </c>
      <c r="H26" s="36" t="str">
        <f aca="false">INDEX($B$23:$G$23,MATCH(MAX(B26:G26),B26:G26,0))</f>
        <v>Dallas-Fort Worth, TX</v>
      </c>
    </row>
    <row r="27" customFormat="false" ht="15" hidden="false" customHeight="false" outlineLevel="0" collapsed="false">
      <c r="A27" s="38" t="n">
        <v>0.25</v>
      </c>
      <c r="B27" s="11" t="n">
        <f aca="false">$A27*Scoring!C$25+(1-$A27)/(1-Weights!$C$5)*($B$5-Weights!$C$5*Scoring!C$25)</f>
        <v>60.706912959353</v>
      </c>
      <c r="C27" s="11" t="n">
        <f aca="false">$A27*Scoring!D$25+(1-$A27)/(1-Weights!$C$5)*($B$6-Weights!$C$5*Scoring!D$25)</f>
        <v>28.3553699605529</v>
      </c>
      <c r="D27" s="11" t="n">
        <f aca="false">$A27*Scoring!E$25+(1-$A27)/(1-Weights!$C$5)*($B$7-Weights!$C$5*Scoring!E$25)</f>
        <v>41.075347280934</v>
      </c>
      <c r="E27" s="11" t="n">
        <f aca="false">$A27*Scoring!F$25+(1-$A27)/(1-Weights!$C$5)*($B$8-Weights!$C$5*Scoring!F$25)</f>
        <v>42.6999949546912</v>
      </c>
      <c r="F27" s="11" t="n">
        <f aca="false">$A27*Scoring!G$25+(1-$A27)/(1-Weights!$C$5)*($B$9-Weights!$C$5*Scoring!G$25)</f>
        <v>71.901914900997</v>
      </c>
      <c r="G27" s="11" t="n">
        <f aca="false">$A27*Scoring!H$25+(1-$A27)/(1-Weights!$C$5)*($B$10-Weights!$C$5*Scoring!H$25)</f>
        <v>48.7926292150833</v>
      </c>
      <c r="H27" s="36" t="str">
        <f aca="false">INDEX($B$23:$G$23,MATCH(MAX(B27:G27),B27:G27,0))</f>
        <v>Dallas-Fort Worth, TX</v>
      </c>
    </row>
    <row r="28" customFormat="false" ht="15" hidden="false" customHeight="false" outlineLevel="0" collapsed="false">
      <c r="A28" s="38" t="n">
        <v>0.3</v>
      </c>
      <c r="B28" s="11" t="n">
        <f aca="false">$A28*Scoring!C$25+(1-$A28)/(1-Weights!$C$5)*($B$5-Weights!$C$5*Scoring!C$25)</f>
        <v>61.844744778323</v>
      </c>
      <c r="C28" s="11" t="n">
        <f aca="false">$A28*Scoring!D$25+(1-$A28)/(1-Weights!$C$5)*($B$6-Weights!$C$5*Scoring!D$25)</f>
        <v>29.7292396054591</v>
      </c>
      <c r="D28" s="11" t="n">
        <f aca="false">$A28*Scoring!E$25+(1-$A28)/(1-Weights!$C$5)*($B$7-Weights!$C$5*Scoring!E$25)</f>
        <v>41.1398363239937</v>
      </c>
      <c r="E28" s="11" t="n">
        <f aca="false">$A28*Scoring!F$25+(1-$A28)/(1-Weights!$C$5)*($B$8-Weights!$C$5*Scoring!F$25)</f>
        <v>40.6033286243784</v>
      </c>
      <c r="F28" s="11" t="n">
        <f aca="false">$A28*Scoring!G$25+(1-$A28)/(1-Weights!$C$5)*($B$9-Weights!$C$5*Scoring!G$25)</f>
        <v>72.5251205742639</v>
      </c>
      <c r="G28" s="11" t="n">
        <f aca="false">$A28*Scoring!H$25+(1-$A28)/(1-Weights!$C$5)*($B$10-Weights!$C$5*Scoring!H$25)</f>
        <v>47.3263726332648</v>
      </c>
      <c r="H28" s="36" t="str">
        <f aca="false">INDEX($B$23:$G$23,MATCH(MAX(B28:G28),B28:G28,0))</f>
        <v>Dallas-Fort Worth, TX</v>
      </c>
    </row>
    <row r="29" customFormat="false" ht="15" hidden="false" customHeight="false" outlineLevel="0" collapsed="false">
      <c r="A29" s="38" t="n">
        <v>0.35</v>
      </c>
      <c r="B29" s="11" t="n">
        <f aca="false">$A29*Scoring!C$25+(1-$A29)/(1-Weights!$C$5)*($B$5-Weights!$C$5*Scoring!C$25)</f>
        <v>62.982576597293</v>
      </c>
      <c r="C29" s="11" t="n">
        <f aca="false">$A29*Scoring!D$25+(1-$A29)/(1-Weights!$C$5)*($B$6-Weights!$C$5*Scoring!D$25)</f>
        <v>31.1031092503653</v>
      </c>
      <c r="D29" s="11" t="n">
        <f aca="false">$A29*Scoring!E$25+(1-$A29)/(1-Weights!$C$5)*($B$7-Weights!$C$5*Scoring!E$25)</f>
        <v>41.2043253670533</v>
      </c>
      <c r="E29" s="11" t="n">
        <f aca="false">$A29*Scoring!F$25+(1-$A29)/(1-Weights!$C$5)*($B$8-Weights!$C$5*Scoring!F$25)</f>
        <v>38.5066622940657</v>
      </c>
      <c r="F29" s="11" t="n">
        <f aca="false">$A29*Scoring!G$25+(1-$A29)/(1-Weights!$C$5)*($B$9-Weights!$C$5*Scoring!G$25)</f>
        <v>73.1483262475307</v>
      </c>
      <c r="G29" s="11" t="n">
        <f aca="false">$A29*Scoring!H$25+(1-$A29)/(1-Weights!$C$5)*($B$10-Weights!$C$5*Scoring!H$25)</f>
        <v>45.8601160514462</v>
      </c>
      <c r="H29" s="36" t="str">
        <f aca="false">INDEX($B$23:$G$23,MATCH(MAX(B29:G29),B29:G29,0))</f>
        <v>Dallas-Fort Worth, TX</v>
      </c>
    </row>
    <row r="30" customFormat="false" ht="15" hidden="false" customHeight="false" outlineLevel="0" collapsed="false">
      <c r="A30" s="38" t="n">
        <v>0.4</v>
      </c>
      <c r="B30" s="11" t="n">
        <f aca="false">$A30*Scoring!C$25+(1-$A30)/(1-Weights!$C$5)*($B$5-Weights!$C$5*Scoring!C$25)</f>
        <v>64.1204084162629</v>
      </c>
      <c r="C30" s="11" t="n">
        <f aca="false">$A30*Scoring!D$25+(1-$A30)/(1-Weights!$C$5)*($B$6-Weights!$C$5*Scoring!D$25)</f>
        <v>32.4769788952716</v>
      </c>
      <c r="D30" s="11" t="n">
        <f aca="false">$A30*Scoring!E$25+(1-$A30)/(1-Weights!$C$5)*($B$7-Weights!$C$5*Scoring!E$25)</f>
        <v>41.268814410113</v>
      </c>
      <c r="E30" s="11" t="n">
        <f aca="false">$A30*Scoring!F$25+(1-$A30)/(1-Weights!$C$5)*($B$8-Weights!$C$5*Scoring!F$25)</f>
        <v>36.4099959637529</v>
      </c>
      <c r="F30" s="11" t="n">
        <f aca="false">$A30*Scoring!G$25+(1-$A30)/(1-Weights!$C$5)*($B$9-Weights!$C$5*Scoring!G$25)</f>
        <v>73.7715319207976</v>
      </c>
      <c r="G30" s="11" t="n">
        <f aca="false">$A30*Scoring!H$25+(1-$A30)/(1-Weights!$C$5)*($B$10-Weights!$C$5*Scoring!H$25)</f>
        <v>44.3938594696277</v>
      </c>
      <c r="H30" s="36" t="str">
        <f aca="false">INDEX($B$23:$G$23,MATCH(MAX(B30:G30),B30:G30,0))</f>
        <v>Dallas-Fort Worth, TX</v>
      </c>
    </row>
    <row r="31" customFormat="false" ht="15" hidden="false" customHeight="false" outlineLevel="0" collapsed="false">
      <c r="A31" s="38" t="n">
        <v>0.45</v>
      </c>
      <c r="B31" s="11" t="n">
        <f aca="false">$A31*Scoring!C$25+(1-$A31)/(1-Weights!$C$5)*($B$5-Weights!$C$5*Scoring!C$25)</f>
        <v>65.2582402352329</v>
      </c>
      <c r="C31" s="11" t="n">
        <f aca="false">$A31*Scoring!D$25+(1-$A31)/(1-Weights!$C$5)*($B$6-Weights!$C$5*Scoring!D$25)</f>
        <v>33.8508485401778</v>
      </c>
      <c r="D31" s="11" t="n">
        <f aca="false">$A31*Scoring!E$25+(1-$A31)/(1-Weights!$C$5)*($B$7-Weights!$C$5*Scoring!E$25)</f>
        <v>41.3333034531727</v>
      </c>
      <c r="E31" s="11" t="n">
        <f aca="false">$A31*Scoring!F$25+(1-$A31)/(1-Weights!$C$5)*($B$8-Weights!$C$5*Scoring!F$25)</f>
        <v>34.3133296334402</v>
      </c>
      <c r="F31" s="11" t="n">
        <f aca="false">$A31*Scoring!G$25+(1-$A31)/(1-Weights!$C$5)*($B$9-Weights!$C$5*Scoring!G$25)</f>
        <v>74.3947375940645</v>
      </c>
      <c r="G31" s="11" t="n">
        <f aca="false">$A31*Scoring!H$25+(1-$A31)/(1-Weights!$C$5)*($B$10-Weights!$C$5*Scoring!H$25)</f>
        <v>42.9276028878091</v>
      </c>
      <c r="H31" s="36" t="str">
        <f aca="false">INDEX($B$23:$G$23,MATCH(MAX(B31:G31),B31:G31,0))</f>
        <v>Dallas-Fort Worth, TX</v>
      </c>
    </row>
    <row r="32" customFormat="false" ht="15" hidden="false" customHeight="false" outlineLevel="0" collapsed="false">
      <c r="A32" s="38" t="n">
        <v>0.5</v>
      </c>
      <c r="B32" s="11" t="n">
        <f aca="false">$A32*Scoring!C$25+(1-$A32)/(1-Weights!$C$5)*($B$5-Weights!$C$5*Scoring!C$25)</f>
        <v>66.3960720542028</v>
      </c>
      <c r="C32" s="11" t="n">
        <f aca="false">$A32*Scoring!D$25+(1-$A32)/(1-Weights!$C$5)*($B$6-Weights!$C$5*Scoring!D$25)</f>
        <v>35.224718185084</v>
      </c>
      <c r="D32" s="11" t="n">
        <f aca="false">$A32*Scoring!E$25+(1-$A32)/(1-Weights!$C$5)*($B$7-Weights!$C$5*Scoring!E$25)</f>
        <v>41.3977924962324</v>
      </c>
      <c r="E32" s="11" t="n">
        <f aca="false">$A32*Scoring!F$25+(1-$A32)/(1-Weights!$C$5)*($B$8-Weights!$C$5*Scoring!F$25)</f>
        <v>32.2166633031275</v>
      </c>
      <c r="F32" s="11" t="n">
        <f aca="false">$A32*Scoring!G$25+(1-$A32)/(1-Weights!$C$5)*($B$9-Weights!$C$5*Scoring!G$25)</f>
        <v>75.0179432673313</v>
      </c>
      <c r="G32" s="11" t="n">
        <f aca="false">$A32*Scoring!H$25+(1-$A32)/(1-Weights!$C$5)*($B$10-Weights!$C$5*Scoring!H$25)</f>
        <v>41.4613463059905</v>
      </c>
      <c r="H32" s="36" t="str">
        <f aca="false">INDEX($B$23:$G$23,MATCH(MAX(B32:G32),B32:G32,0))</f>
        <v>Dallas-Fort Worth, TX</v>
      </c>
    </row>
    <row r="33" customFormat="false" ht="15" hidden="false" customHeight="false" outlineLevel="0" collapsed="false">
      <c r="A33" s="38" t="n">
        <v>0.55</v>
      </c>
      <c r="B33" s="11" t="n">
        <f aca="false">$A33*Scoring!C$25+(1-$A33)/(1-Weights!$C$5)*($B$5-Weights!$C$5*Scoring!C$25)</f>
        <v>67.5339038731728</v>
      </c>
      <c r="C33" s="11" t="n">
        <f aca="false">$A33*Scoring!D$25+(1-$A33)/(1-Weights!$C$5)*($B$6-Weights!$C$5*Scoring!D$25)</f>
        <v>36.5985878299903</v>
      </c>
      <c r="D33" s="11" t="n">
        <f aca="false">$A33*Scoring!E$25+(1-$A33)/(1-Weights!$C$5)*($B$7-Weights!$C$5*Scoring!E$25)</f>
        <v>41.4622815392921</v>
      </c>
      <c r="E33" s="11" t="n">
        <f aca="false">$A33*Scoring!F$25+(1-$A33)/(1-Weights!$C$5)*($B$8-Weights!$C$5*Scoring!F$25)</f>
        <v>30.1199969728147</v>
      </c>
      <c r="F33" s="11" t="n">
        <f aca="false">$A33*Scoring!G$25+(1-$A33)/(1-Weights!$C$5)*($B$9-Weights!$C$5*Scoring!G$25)</f>
        <v>75.6411489405982</v>
      </c>
      <c r="G33" s="11" t="n">
        <f aca="false">$A33*Scoring!H$25+(1-$A33)/(1-Weights!$C$5)*($B$10-Weights!$C$5*Scoring!H$25)</f>
        <v>39.995089724172</v>
      </c>
      <c r="H33" s="36" t="str">
        <f aca="false">INDEX($B$23:$G$23,MATCH(MAX(B33:G33),B33:G33,0))</f>
        <v>Dallas-Fort Worth, TX</v>
      </c>
    </row>
    <row r="34" customFormat="false" ht="15" hidden="false" customHeight="false" outlineLevel="0" collapsed="false">
      <c r="A34" s="38" t="n">
        <v>0.6</v>
      </c>
      <c r="B34" s="11" t="n">
        <f aca="false">$A34*Scoring!C$25+(1-$A34)/(1-Weights!$C$5)*($B$5-Weights!$C$5*Scoring!C$25)</f>
        <v>68.6717356921428</v>
      </c>
      <c r="C34" s="11" t="n">
        <f aca="false">$A34*Scoring!D$25+(1-$A34)/(1-Weights!$C$5)*($B$6-Weights!$C$5*Scoring!D$25)</f>
        <v>37.9724574748965</v>
      </c>
      <c r="D34" s="11" t="n">
        <f aca="false">$A34*Scoring!E$25+(1-$A34)/(1-Weights!$C$5)*($B$7-Weights!$C$5*Scoring!E$25)</f>
        <v>41.5267705823518</v>
      </c>
      <c r="E34" s="11" t="n">
        <f aca="false">$A34*Scoring!F$25+(1-$A34)/(1-Weights!$C$5)*($B$8-Weights!$C$5*Scoring!F$25)</f>
        <v>28.023330642502</v>
      </c>
      <c r="F34" s="11" t="n">
        <f aca="false">$A34*Scoring!G$25+(1-$A34)/(1-Weights!$C$5)*($B$9-Weights!$C$5*Scoring!G$25)</f>
        <v>76.2643546138651</v>
      </c>
      <c r="G34" s="11" t="n">
        <f aca="false">$A34*Scoring!H$25+(1-$A34)/(1-Weights!$C$5)*($B$10-Weights!$C$5*Scoring!H$25)</f>
        <v>38.5288331423534</v>
      </c>
      <c r="H34" s="36" t="str">
        <f aca="false">INDEX($B$23:$G$23,MATCH(MAX(B34:G34),B34:G34,0))</f>
        <v>Dallas-Fort Worth, TX</v>
      </c>
    </row>
    <row r="37" customFormat="false" ht="15" hidden="false" customHeight="false" outlineLevel="0" collapsed="false">
      <c r="A37" s="3" t="s">
        <v>192</v>
      </c>
    </row>
    <row r="38" customFormat="false" ht="31.5" hidden="false" customHeight="true" outlineLevel="0" collapsed="false">
      <c r="A38" s="6" t="s">
        <v>193</v>
      </c>
      <c r="B38" s="6" t="s">
        <v>194</v>
      </c>
      <c r="C38" s="6" t="s">
        <v>8</v>
      </c>
      <c r="D38" s="6" t="s">
        <v>9</v>
      </c>
      <c r="E38" s="6" t="s">
        <v>10</v>
      </c>
      <c r="F38" s="6" t="s">
        <v>11</v>
      </c>
      <c r="G38" s="6" t="s">
        <v>12</v>
      </c>
      <c r="H38" s="6" t="s">
        <v>13</v>
      </c>
      <c r="I38" s="6" t="s">
        <v>191</v>
      </c>
    </row>
    <row r="39" customFormat="false" ht="15" hidden="false" customHeight="false" outlineLevel="0" collapsed="false">
      <c r="A39" s="38" t="n">
        <v>0.15</v>
      </c>
      <c r="B39" s="38" t="n">
        <v>0.05</v>
      </c>
      <c r="C39" s="11" t="n">
        <f aca="false">$A39*Scoring!C$25+$B39*Scoring!C$27+((1-$A39-$B39)/(1-Weights!$C$5-Weights!$C$7))*($B$5-Weights!$C$5*Scoring!C$25-Weights!$C$7*Scoring!C$27)</f>
        <v>61.3488827502386</v>
      </c>
      <c r="D39" s="11" t="n">
        <f aca="false">$A39*Scoring!D$25+$B39*Scoring!D$27+((1-$A39-$B39)/(1-Weights!$C$5-Weights!$C$7))*($B$6-Weights!$C$5*Scoring!D$25-Weights!$C$7*Scoring!D$27)</f>
        <v>23.7577400781774</v>
      </c>
      <c r="E39" s="11" t="n">
        <f aca="false">$A39*Scoring!E$25+$B39*Scoring!E$27+((1-$A39-$B39)/(1-Weights!$C$5-Weights!$C$7))*($B$7-Weights!$C$5*Scoring!E$25-Weights!$C$7*Scoring!E$27)</f>
        <v>39.9978095863529</v>
      </c>
      <c r="F39" s="11" t="n">
        <f aca="false">$A39*Scoring!F$25+$B39*Scoring!F$27+((1-$A39-$B39)/(1-Weights!$C$5-Weights!$C$7))*($B$8-Weights!$C$5*Scoring!F$25-Weights!$C$7*Scoring!F$27)</f>
        <v>41.7777924367745</v>
      </c>
      <c r="G39" s="11" t="n">
        <f aca="false">$A39*Scoring!G$25+$B39*Scoring!G$27+((1-$A39-$B39)/(1-Weights!$C$5-Weights!$C$7))*($B$9-Weights!$C$5*Scoring!G$25-Weights!$C$7*Scoring!G$27)</f>
        <v>69.1119123848301</v>
      </c>
      <c r="H39" s="11" t="n">
        <f aca="false">$A39*Scoring!H$25+$B39*Scoring!H$27+((1-$A39-$B39)/(1-Weights!$C$5-Weights!$C$7))*($B$10-Weights!$C$5*Scoring!H$25-Weights!$C$7*Scoring!H$27)</f>
        <v>49.5446287792719</v>
      </c>
      <c r="I39" s="36" t="str">
        <f aca="false">INDEX($C$38:$H$38,MATCH(MAX(C39:H39),C39:H39,0))</f>
        <v>Dallas-Fort Worth, TX</v>
      </c>
    </row>
    <row r="40" customFormat="false" ht="15" hidden="false" customHeight="false" outlineLevel="0" collapsed="false">
      <c r="A40" s="38" t="n">
        <v>0.15</v>
      </c>
      <c r="B40" s="38" t="n">
        <v>0.1</v>
      </c>
      <c r="C40" s="11" t="n">
        <f aca="false">$A40*Scoring!C$25+$B40*Scoring!C$27+((1-$A40-$B40)/(1-Weights!$C$5-Weights!$C$7))*($B$5-Weights!$C$5*Scoring!C$25-Weights!$C$7*Scoring!C$27)</f>
        <v>59.8247458844342</v>
      </c>
      <c r="D40" s="11" t="n">
        <f aca="false">$A40*Scoring!D$25+$B40*Scoring!D$27+((1-$A40-$B40)/(1-Weights!$C$5-Weights!$C$7))*($B$6-Weights!$C$5*Scoring!D$25-Weights!$C$7*Scoring!D$27)</f>
        <v>24.7241008354865</v>
      </c>
      <c r="E40" s="11" t="n">
        <f aca="false">$A40*Scoring!E$25+$B40*Scoring!E$27+((1-$A40-$B40)/(1-Weights!$C$5-Weights!$C$7))*($B$7-Weights!$C$5*Scoring!E$25-Weights!$C$7*Scoring!E$27)</f>
        <v>40.4933257997284</v>
      </c>
      <c r="F40" s="11" t="n">
        <f aca="false">$A40*Scoring!F$25+$B40*Scoring!F$27+((1-$A40-$B40)/(1-Weights!$C$5-Weights!$C$7))*($B$8-Weights!$C$5*Scoring!F$25-Weights!$C$7*Scoring!F$27)</f>
        <v>44.4500869330279</v>
      </c>
      <c r="G40" s="11" t="n">
        <f aca="false">$A40*Scoring!G$25+$B40*Scoring!G$27+((1-$A40-$B40)/(1-Weights!$C$5-Weights!$C$7))*($B$9-Weights!$C$5*Scoring!G$25-Weights!$C$7*Scoring!G$27)</f>
        <v>69.9182659809071</v>
      </c>
      <c r="H40" s="11" t="n">
        <f aca="false">$A40*Scoring!H$25+$B40*Scoring!H$27+((1-$A40-$B40)/(1-Weights!$C$5-Weights!$C$7))*($B$10-Weights!$C$5*Scoring!H$25-Weights!$C$7*Scoring!H$27)</f>
        <v>50.6837030476405</v>
      </c>
      <c r="I40" s="36" t="str">
        <f aca="false">INDEX($C$38:$H$38,MATCH(MAX(C40:H40),C40:H40,0))</f>
        <v>Dallas-Fort Worth, TX</v>
      </c>
    </row>
    <row r="41" customFormat="false" ht="15" hidden="false" customHeight="false" outlineLevel="0" collapsed="false">
      <c r="A41" s="38" t="n">
        <v>0.15</v>
      </c>
      <c r="B41" s="38" t="n">
        <v>0.2</v>
      </c>
      <c r="C41" s="11" t="n">
        <f aca="false">$A41*Scoring!C$25+$B41*Scoring!C$27+((1-$A41-$B41)/(1-Weights!$C$5-Weights!$C$7))*($B$5-Weights!$C$5*Scoring!C$25-Weights!$C$7*Scoring!C$27)</f>
        <v>56.7764721528255</v>
      </c>
      <c r="D41" s="11" t="n">
        <f aca="false">$A41*Scoring!D$25+$B41*Scoring!D$27+((1-$A41-$B41)/(1-Weights!$C$5-Weights!$C$7))*($B$6-Weights!$C$5*Scoring!D$25-Weights!$C$7*Scoring!D$27)</f>
        <v>26.6568223501045</v>
      </c>
      <c r="E41" s="11" t="n">
        <f aca="false">$A41*Scoring!E$25+$B41*Scoring!E$27+((1-$A41-$B41)/(1-Weights!$C$5-Weights!$C$7))*($B$7-Weights!$C$5*Scoring!E$25-Weights!$C$7*Scoring!E$27)</f>
        <v>41.4843582264794</v>
      </c>
      <c r="F41" s="11" t="n">
        <f aca="false">$A41*Scoring!F$25+$B41*Scoring!F$27+((1-$A41-$B41)/(1-Weights!$C$5-Weights!$C$7))*($B$8-Weights!$C$5*Scoring!F$25-Weights!$C$7*Scoring!F$27)</f>
        <v>49.7946759255346</v>
      </c>
      <c r="G41" s="11" t="n">
        <f aca="false">$A41*Scoring!G$25+$B41*Scoring!G$27+((1-$A41-$B41)/(1-Weights!$C$5-Weights!$C$7))*($B$9-Weights!$C$5*Scoring!G$25-Weights!$C$7*Scoring!G$27)</f>
        <v>71.5309731730611</v>
      </c>
      <c r="H41" s="11" t="n">
        <f aca="false">$A41*Scoring!H$25+$B41*Scoring!H$27+((1-$A41-$B41)/(1-Weights!$C$5-Weights!$C$7))*($B$10-Weights!$C$5*Scoring!H$25-Weights!$C$7*Scoring!H$27)</f>
        <v>52.9618515843779</v>
      </c>
      <c r="I41" s="36" t="str">
        <f aca="false">INDEX($C$38:$H$38,MATCH(MAX(C41:H41),C41:H41,0))</f>
        <v>Dallas-Fort Worth, TX</v>
      </c>
    </row>
    <row r="42" customFormat="false" ht="15" hidden="false" customHeight="false" outlineLevel="0" collapsed="false">
      <c r="A42" s="38" t="n">
        <v>0.15</v>
      </c>
      <c r="B42" s="38" t="n">
        <v>0.3</v>
      </c>
      <c r="C42" s="11" t="n">
        <f aca="false">$A42*Scoring!C$25+$B42*Scoring!C$27+((1-$A42-$B42)/(1-Weights!$C$5-Weights!$C$7))*($B$5-Weights!$C$5*Scoring!C$25-Weights!$C$7*Scoring!C$27)</f>
        <v>53.7281984212168</v>
      </c>
      <c r="D42" s="11" t="n">
        <f aca="false">$A42*Scoring!D$25+$B42*Scoring!D$27+((1-$A42-$B42)/(1-Weights!$C$5-Weights!$C$7))*($B$6-Weights!$C$5*Scoring!D$25-Weights!$C$7*Scoring!D$27)</f>
        <v>28.5895438647226</v>
      </c>
      <c r="E42" s="11" t="n">
        <f aca="false">$A42*Scoring!E$25+$B42*Scoring!E$27+((1-$A42-$B42)/(1-Weights!$C$5-Weights!$C$7))*($B$7-Weights!$C$5*Scoring!E$25-Weights!$C$7*Scoring!E$27)</f>
        <v>42.4753906532304</v>
      </c>
      <c r="F42" s="11" t="n">
        <f aca="false">$A42*Scoring!F$25+$B42*Scoring!F$27+((1-$A42-$B42)/(1-Weights!$C$5-Weights!$C$7))*($B$8-Weights!$C$5*Scoring!F$25-Weights!$C$7*Scoring!F$27)</f>
        <v>55.1392649180414</v>
      </c>
      <c r="G42" s="11" t="n">
        <f aca="false">$A42*Scoring!G$25+$B42*Scoring!G$27+((1-$A42-$B42)/(1-Weights!$C$5-Weights!$C$7))*($B$9-Weights!$C$5*Scoring!G$25-Weights!$C$7*Scoring!G$27)</f>
        <v>73.1436803652152</v>
      </c>
      <c r="H42" s="11" t="n">
        <f aca="false">$A42*Scoring!H$25+$B42*Scoring!H$27+((1-$A42-$B42)/(1-Weights!$C$5-Weights!$C$7))*($B$10-Weights!$C$5*Scoring!H$25-Weights!$C$7*Scoring!H$27)</f>
        <v>55.2400001211153</v>
      </c>
      <c r="I42" s="36" t="str">
        <f aca="false">INDEX($C$38:$H$38,MATCH(MAX(C42:H42),C42:H42,0))</f>
        <v>Dallas-Fort Worth, TX</v>
      </c>
    </row>
    <row r="43" customFormat="false" ht="15" hidden="false" customHeight="false" outlineLevel="0" collapsed="false">
      <c r="A43" s="38" t="n">
        <v>0.25</v>
      </c>
      <c r="B43" s="38" t="n">
        <v>0.05</v>
      </c>
      <c r="C43" s="11" t="n">
        <f aca="false">$A43*Scoring!C$25+$B43*Scoring!C$27+((1-$A43-$B43)/(1-Weights!$C$5-Weights!$C$7))*($B$5-Weights!$C$5*Scoring!C$25-Weights!$C$7*Scoring!C$27)</f>
        <v>63.1019851770456</v>
      </c>
      <c r="D43" s="11" t="n">
        <f aca="false">$A43*Scoring!D$25+$B43*Scoring!D$27+((1-$A43-$B43)/(1-Weights!$C$5-Weights!$C$7))*($B$6-Weights!$C$5*Scoring!D$25-Weights!$C$7*Scoring!D$27)</f>
        <v>26.8368030562101</v>
      </c>
      <c r="E43" s="11" t="n">
        <f aca="false">$A43*Scoring!E$25+$B43*Scoring!E$27+((1-$A43-$B43)/(1-Weights!$C$5-Weights!$C$7))*($B$7-Weights!$C$5*Scoring!E$25-Weights!$C$7*Scoring!E$27)</f>
        <v>40.2966789456296</v>
      </c>
      <c r="F43" s="11" t="n">
        <f aca="false">$A43*Scoring!F$25+$B43*Scoring!F$27+((1-$A43-$B43)/(1-Weights!$C$5-Weights!$C$7))*($B$8-Weights!$C$5*Scoring!F$25-Weights!$C$7*Scoring!F$27)</f>
        <v>38.5006750320073</v>
      </c>
      <c r="G43" s="11" t="n">
        <f aca="false">$A43*Scoring!G$25+$B43*Scoring!G$27+((1-$A43-$B43)/(1-Weights!$C$5-Weights!$C$7))*($B$9-Weights!$C$5*Scoring!G$25-Weights!$C$7*Scoring!G$27)</f>
        <v>70.6347878214474</v>
      </c>
      <c r="H43" s="11" t="n">
        <f aca="false">$A43*Scoring!H$25+$B43*Scoring!H$27+((1-$A43-$B43)/(1-Weights!$C$5-Weights!$C$7))*($B$10-Weights!$C$5*Scoring!H$25-Weights!$C$7*Scoring!H$27)</f>
        <v>47.0026553647897</v>
      </c>
      <c r="I43" s="36" t="str">
        <f aca="false">INDEX($C$38:$H$38,MATCH(MAX(C43:H43),C43:H43,0))</f>
        <v>Dallas-Fort Worth, TX</v>
      </c>
    </row>
    <row r="44" customFormat="false" ht="15" hidden="false" customHeight="false" outlineLevel="0" collapsed="false">
      <c r="A44" s="38" t="n">
        <v>0.25</v>
      </c>
      <c r="B44" s="38" t="n">
        <v>0.1</v>
      </c>
      <c r="C44" s="11" t="n">
        <f aca="false">$A44*Scoring!C$25+$B44*Scoring!C$27+((1-$A44-$B44)/(1-Weights!$C$5-Weights!$C$7))*($B$5-Weights!$C$5*Scoring!C$25-Weights!$C$7*Scoring!C$27)</f>
        <v>61.5778483112412</v>
      </c>
      <c r="D44" s="11" t="n">
        <f aca="false">$A44*Scoring!D$25+$B44*Scoring!D$27+((1-$A44-$B44)/(1-Weights!$C$5-Weights!$C$7))*($B$6-Weights!$C$5*Scoring!D$25-Weights!$C$7*Scoring!D$27)</f>
        <v>27.8031638135192</v>
      </c>
      <c r="E44" s="11" t="n">
        <f aca="false">$A44*Scoring!E$25+$B44*Scoring!E$27+((1-$A44-$B44)/(1-Weights!$C$5-Weights!$C$7))*($B$7-Weights!$C$5*Scoring!E$25-Weights!$C$7*Scoring!E$27)</f>
        <v>40.7921951590051</v>
      </c>
      <c r="F44" s="11" t="n">
        <f aca="false">$A44*Scoring!F$25+$B44*Scoring!F$27+((1-$A44-$B44)/(1-Weights!$C$5-Weights!$C$7))*($B$8-Weights!$C$5*Scoring!F$25-Weights!$C$7*Scoring!F$27)</f>
        <v>41.1729695282607</v>
      </c>
      <c r="G44" s="11" t="n">
        <f aca="false">$A44*Scoring!G$25+$B44*Scoring!G$27+((1-$A44-$B44)/(1-Weights!$C$5-Weights!$C$7))*($B$9-Weights!$C$5*Scoring!G$25-Weights!$C$7*Scoring!G$27)</f>
        <v>71.4411414175244</v>
      </c>
      <c r="H44" s="11" t="n">
        <f aca="false">$A44*Scoring!H$25+$B44*Scoring!H$27+((1-$A44-$B44)/(1-Weights!$C$5-Weights!$C$7))*($B$10-Weights!$C$5*Scoring!H$25-Weights!$C$7*Scoring!H$27)</f>
        <v>48.1417296331584</v>
      </c>
      <c r="I44" s="36" t="str">
        <f aca="false">INDEX($C$38:$H$38,MATCH(MAX(C44:H44),C44:H44,0))</f>
        <v>Dallas-Fort Worth, TX</v>
      </c>
    </row>
    <row r="45" customFormat="false" ht="15" hidden="false" customHeight="false" outlineLevel="0" collapsed="false">
      <c r="A45" s="38" t="n">
        <v>0.25</v>
      </c>
      <c r="B45" s="38" t="n">
        <v>0.2</v>
      </c>
      <c r="C45" s="11" t="n">
        <f aca="false">$A45*Scoring!C$25+$B45*Scoring!C$27+((1-$A45-$B45)/(1-Weights!$C$5-Weights!$C$7))*($B$5-Weights!$C$5*Scoring!C$25-Weights!$C$7*Scoring!C$27)</f>
        <v>58.5295745796325</v>
      </c>
      <c r="D45" s="11" t="n">
        <f aca="false">$A45*Scoring!D$25+$B45*Scoring!D$27+((1-$A45-$B45)/(1-Weights!$C$5-Weights!$C$7))*($B$6-Weights!$C$5*Scoring!D$25-Weights!$C$7*Scoring!D$27)</f>
        <v>29.7358853281372</v>
      </c>
      <c r="E45" s="11" t="n">
        <f aca="false">$A45*Scoring!E$25+$B45*Scoring!E$27+((1-$A45-$B45)/(1-Weights!$C$5-Weights!$C$7))*($B$7-Weights!$C$5*Scoring!E$25-Weights!$C$7*Scoring!E$27)</f>
        <v>41.7832275857561</v>
      </c>
      <c r="F45" s="11" t="n">
        <f aca="false">$A45*Scoring!F$25+$B45*Scoring!F$27+((1-$A45-$B45)/(1-Weights!$C$5-Weights!$C$7))*($B$8-Weights!$C$5*Scoring!F$25-Weights!$C$7*Scoring!F$27)</f>
        <v>46.5175585207674</v>
      </c>
      <c r="G45" s="11" t="n">
        <f aca="false">$A45*Scoring!G$25+$B45*Scoring!G$27+((1-$A45-$B45)/(1-Weights!$C$5-Weights!$C$7))*($B$9-Weights!$C$5*Scoring!G$25-Weights!$C$7*Scoring!G$27)</f>
        <v>73.0538486096784</v>
      </c>
      <c r="H45" s="11" t="n">
        <f aca="false">$A45*Scoring!H$25+$B45*Scoring!H$27+((1-$A45-$B45)/(1-Weights!$C$5-Weights!$C$7))*($B$10-Weights!$C$5*Scoring!H$25-Weights!$C$7*Scoring!H$27)</f>
        <v>50.4198781698957</v>
      </c>
      <c r="I45" s="36" t="str">
        <f aca="false">INDEX($C$38:$H$38,MATCH(MAX(C45:H45),C45:H45,0))</f>
        <v>Dallas-Fort Worth, TX</v>
      </c>
    </row>
    <row r="46" customFormat="false" ht="15" hidden="false" customHeight="false" outlineLevel="0" collapsed="false">
      <c r="A46" s="38" t="n">
        <v>0.25</v>
      </c>
      <c r="B46" s="38" t="n">
        <v>0.3</v>
      </c>
      <c r="C46" s="11" t="n">
        <f aca="false">$A46*Scoring!C$25+$B46*Scoring!C$27+((1-$A46-$B46)/(1-Weights!$C$5-Weights!$C$7))*($B$5-Weights!$C$5*Scoring!C$25-Weights!$C$7*Scoring!C$27)</f>
        <v>55.4813008480238</v>
      </c>
      <c r="D46" s="11" t="n">
        <f aca="false">$A46*Scoring!D$25+$B46*Scoring!D$27+((1-$A46-$B46)/(1-Weights!$C$5-Weights!$C$7))*($B$6-Weights!$C$5*Scoring!D$25-Weights!$C$7*Scoring!D$27)</f>
        <v>31.6686068427553</v>
      </c>
      <c r="E46" s="11" t="n">
        <f aca="false">$A46*Scoring!E$25+$B46*Scoring!E$27+((1-$A46-$B46)/(1-Weights!$C$5-Weights!$C$7))*($B$7-Weights!$C$5*Scoring!E$25-Weights!$C$7*Scoring!E$27)</f>
        <v>42.7742600125071</v>
      </c>
      <c r="F46" s="11" t="n">
        <f aca="false">$A46*Scoring!F$25+$B46*Scoring!F$27+((1-$A46-$B46)/(1-Weights!$C$5-Weights!$C$7))*($B$8-Weights!$C$5*Scoring!F$25-Weights!$C$7*Scoring!F$27)</f>
        <v>51.8621475132742</v>
      </c>
      <c r="G46" s="11" t="n">
        <f aca="false">$A46*Scoring!G$25+$B46*Scoring!G$27+((1-$A46-$B46)/(1-Weights!$C$5-Weights!$C$7))*($B$9-Weights!$C$5*Scoring!G$25-Weights!$C$7*Scoring!G$27)</f>
        <v>74.6665558018325</v>
      </c>
      <c r="H46" s="11" t="n">
        <f aca="false">$A46*Scoring!H$25+$B46*Scoring!H$27+((1-$A46-$B46)/(1-Weights!$C$5-Weights!$C$7))*($B$10-Weights!$C$5*Scoring!H$25-Weights!$C$7*Scoring!H$27)</f>
        <v>52.6980267066331</v>
      </c>
      <c r="I46" s="36" t="str">
        <f aca="false">INDEX($C$38:$H$38,MATCH(MAX(C46:H46),C46:H46,0))</f>
        <v>Dallas-Fort Worth, TX</v>
      </c>
    </row>
    <row r="47" customFormat="false" ht="15" hidden="false" customHeight="false" outlineLevel="0" collapsed="false">
      <c r="A47" s="38" t="n">
        <v>0.35</v>
      </c>
      <c r="B47" s="38" t="n">
        <v>0.05</v>
      </c>
      <c r="C47" s="11" t="n">
        <f aca="false">$A47*Scoring!C$25+$B47*Scoring!C$27+((1-$A47-$B47)/(1-Weights!$C$5-Weights!$C$7))*($B$5-Weights!$C$5*Scoring!C$25-Weights!$C$7*Scoring!C$27)</f>
        <v>64.8550876038526</v>
      </c>
      <c r="D47" s="11" t="n">
        <f aca="false">$A47*Scoring!D$25+$B47*Scoring!D$27+((1-$A47-$B47)/(1-Weights!$C$5-Weights!$C$7))*($B$6-Weights!$C$5*Scoring!D$25-Weights!$C$7*Scoring!D$27)</f>
        <v>29.9158660342428</v>
      </c>
      <c r="E47" s="11" t="n">
        <f aca="false">$A47*Scoring!E$25+$B47*Scoring!E$27+((1-$A47-$B47)/(1-Weights!$C$5-Weights!$C$7))*($B$7-Weights!$C$5*Scoring!E$25-Weights!$C$7*Scoring!E$27)</f>
        <v>40.5955483049063</v>
      </c>
      <c r="F47" s="11" t="n">
        <f aca="false">$A47*Scoring!F$25+$B47*Scoring!F$27+((1-$A47-$B47)/(1-Weights!$C$5-Weights!$C$7))*($B$8-Weights!$C$5*Scoring!F$25-Weights!$C$7*Scoring!F$27)</f>
        <v>35.2235576272401</v>
      </c>
      <c r="G47" s="11" t="n">
        <f aca="false">$A47*Scoring!G$25+$B47*Scoring!G$27+((1-$A47-$B47)/(1-Weights!$C$5-Weights!$C$7))*($B$9-Weights!$C$5*Scoring!G$25-Weights!$C$7*Scoring!G$27)</f>
        <v>72.1576632580647</v>
      </c>
      <c r="H47" s="11" t="n">
        <f aca="false">$A47*Scoring!H$25+$B47*Scoring!H$27+((1-$A47-$B47)/(1-Weights!$C$5-Weights!$C$7))*($B$10-Weights!$C$5*Scoring!H$25-Weights!$C$7*Scoring!H$27)</f>
        <v>44.4606819503076</v>
      </c>
      <c r="I47" s="36" t="str">
        <f aca="false">INDEX($C$38:$H$38,MATCH(MAX(C47:H47),C47:H47,0))</f>
        <v>Dallas-Fort Worth, TX</v>
      </c>
    </row>
    <row r="48" customFormat="false" ht="15" hidden="false" customHeight="false" outlineLevel="0" collapsed="false">
      <c r="A48" s="38" t="n">
        <v>0.35</v>
      </c>
      <c r="B48" s="38" t="n">
        <v>0.1</v>
      </c>
      <c r="C48" s="11" t="n">
        <f aca="false">$A48*Scoring!C$25+$B48*Scoring!C$27+((1-$A48-$B48)/(1-Weights!$C$5-Weights!$C$7))*($B$5-Weights!$C$5*Scoring!C$25-Weights!$C$7*Scoring!C$27)</f>
        <v>63.3309507380482</v>
      </c>
      <c r="D48" s="11" t="n">
        <f aca="false">$A48*Scoring!D$25+$B48*Scoring!D$27+((1-$A48-$B48)/(1-Weights!$C$5-Weights!$C$7))*($B$6-Weights!$C$5*Scoring!D$25-Weights!$C$7*Scoring!D$27)</f>
        <v>30.8822267915519</v>
      </c>
      <c r="E48" s="11" t="n">
        <f aca="false">$A48*Scoring!E$25+$B48*Scoring!E$27+((1-$A48-$B48)/(1-Weights!$C$5-Weights!$C$7))*($B$7-Weights!$C$5*Scoring!E$25-Weights!$C$7*Scoring!E$27)</f>
        <v>41.0910645182818</v>
      </c>
      <c r="F48" s="11" t="n">
        <f aca="false">$A48*Scoring!F$25+$B48*Scoring!F$27+((1-$A48-$B48)/(1-Weights!$C$5-Weights!$C$7))*($B$8-Weights!$C$5*Scoring!F$25-Weights!$C$7*Scoring!F$27)</f>
        <v>37.8958521234935</v>
      </c>
      <c r="G48" s="11" t="n">
        <f aca="false">$A48*Scoring!G$25+$B48*Scoring!G$27+((1-$A48-$B48)/(1-Weights!$C$5-Weights!$C$7))*($B$9-Weights!$C$5*Scoring!G$25-Weights!$C$7*Scoring!G$27)</f>
        <v>72.9640168541417</v>
      </c>
      <c r="H48" s="11" t="n">
        <f aca="false">$A48*Scoring!H$25+$B48*Scoring!H$27+((1-$A48-$B48)/(1-Weights!$C$5-Weights!$C$7))*($B$10-Weights!$C$5*Scoring!H$25-Weights!$C$7*Scoring!H$27)</f>
        <v>45.5997562186762</v>
      </c>
      <c r="I48" s="36" t="str">
        <f aca="false">INDEX($C$38:$H$38,MATCH(MAX(C48:H48),C48:H48,0))</f>
        <v>Dallas-Fort Worth, TX</v>
      </c>
    </row>
    <row r="49" customFormat="false" ht="15" hidden="false" customHeight="false" outlineLevel="0" collapsed="false">
      <c r="A49" s="38" t="n">
        <v>0.35</v>
      </c>
      <c r="B49" s="38" t="n">
        <v>0.2</v>
      </c>
      <c r="C49" s="11" t="n">
        <f aca="false">$A49*Scoring!C$25+$B49*Scoring!C$27+((1-$A49-$B49)/(1-Weights!$C$5-Weights!$C$7))*($B$5-Weights!$C$5*Scoring!C$25-Weights!$C$7*Scoring!C$27)</f>
        <v>60.2826770064395</v>
      </c>
      <c r="D49" s="11" t="n">
        <f aca="false">$A49*Scoring!D$25+$B49*Scoring!D$27+((1-$A49-$B49)/(1-Weights!$C$5-Weights!$C$7))*($B$6-Weights!$C$5*Scoring!D$25-Weights!$C$7*Scoring!D$27)</f>
        <v>32.8149483061699</v>
      </c>
      <c r="E49" s="11" t="n">
        <f aca="false">$A49*Scoring!E$25+$B49*Scoring!E$27+((1-$A49-$B49)/(1-Weights!$C$5-Weights!$C$7))*($B$7-Weights!$C$5*Scoring!E$25-Weights!$C$7*Scoring!E$27)</f>
        <v>42.0820969450328</v>
      </c>
      <c r="F49" s="11" t="n">
        <f aca="false">$A49*Scoring!F$25+$B49*Scoring!F$27+((1-$A49-$B49)/(1-Weights!$C$5-Weights!$C$7))*($B$8-Weights!$C$5*Scoring!F$25-Weights!$C$7*Scoring!F$27)</f>
        <v>43.2404411160003</v>
      </c>
      <c r="G49" s="11" t="n">
        <f aca="false">$A49*Scoring!G$25+$B49*Scoring!G$27+((1-$A49-$B49)/(1-Weights!$C$5-Weights!$C$7))*($B$9-Weights!$C$5*Scoring!G$25-Weights!$C$7*Scoring!G$27)</f>
        <v>74.5767240462957</v>
      </c>
      <c r="H49" s="11" t="n">
        <f aca="false">$A49*Scoring!H$25+$B49*Scoring!H$27+((1-$A49-$B49)/(1-Weights!$C$5-Weights!$C$7))*($B$10-Weights!$C$5*Scoring!H$25-Weights!$C$7*Scoring!H$27)</f>
        <v>47.8779047554136</v>
      </c>
      <c r="I49" s="36" t="str">
        <f aca="false">INDEX($C$38:$H$38,MATCH(MAX(C49:H49),C49:H49,0))</f>
        <v>Dallas-Fort Worth, TX</v>
      </c>
    </row>
    <row r="50" customFormat="false" ht="15" hidden="false" customHeight="false" outlineLevel="0" collapsed="false">
      <c r="A50" s="38" t="n">
        <v>0.35</v>
      </c>
      <c r="B50" s="38" t="n">
        <v>0.3</v>
      </c>
      <c r="C50" s="11" t="n">
        <f aca="false">$A50*Scoring!C$25+$B50*Scoring!C$27+((1-$A50-$B50)/(1-Weights!$C$5-Weights!$C$7))*($B$5-Weights!$C$5*Scoring!C$25-Weights!$C$7*Scoring!C$27)</f>
        <v>57.2344032748308</v>
      </c>
      <c r="D50" s="11" t="n">
        <f aca="false">$A50*Scoring!D$25+$B50*Scoring!D$27+((1-$A50-$B50)/(1-Weights!$C$5-Weights!$C$7))*($B$6-Weights!$C$5*Scoring!D$25-Weights!$C$7*Scoring!D$27)</f>
        <v>34.747669820788</v>
      </c>
      <c r="E50" s="11" t="n">
        <f aca="false">$A50*Scoring!E$25+$B50*Scoring!E$27+((1-$A50-$B50)/(1-Weights!$C$5-Weights!$C$7))*($B$7-Weights!$C$5*Scoring!E$25-Weights!$C$7*Scoring!E$27)</f>
        <v>43.0731293717838</v>
      </c>
      <c r="F50" s="11" t="n">
        <f aca="false">$A50*Scoring!F$25+$B50*Scoring!F$27+((1-$A50-$B50)/(1-Weights!$C$5-Weights!$C$7))*($B$8-Weights!$C$5*Scoring!F$25-Weights!$C$7*Scoring!F$27)</f>
        <v>48.585030108507</v>
      </c>
      <c r="G50" s="11" t="n">
        <f aca="false">$A50*Scoring!G$25+$B50*Scoring!G$27+((1-$A50-$B50)/(1-Weights!$C$5-Weights!$C$7))*($B$9-Weights!$C$5*Scoring!G$25-Weights!$C$7*Scoring!G$27)</f>
        <v>76.1894312384497</v>
      </c>
      <c r="H50" s="11" t="n">
        <f aca="false">$A50*Scoring!H$25+$B50*Scoring!H$27+((1-$A50-$B50)/(1-Weights!$C$5-Weights!$C$7))*($B$10-Weights!$C$5*Scoring!H$25-Weights!$C$7*Scoring!H$27)</f>
        <v>50.156053292151</v>
      </c>
      <c r="I50" s="36" t="str">
        <f aca="false">INDEX($C$38:$H$38,MATCH(MAX(C50:H50),C50:H50,0))</f>
        <v>Dallas-Fort Worth, TX</v>
      </c>
    </row>
    <row r="51" customFormat="false" ht="15" hidden="false" customHeight="false" outlineLevel="0" collapsed="false">
      <c r="A51" s="38" t="n">
        <v>0.45</v>
      </c>
      <c r="B51" s="38" t="n">
        <v>0.05</v>
      </c>
      <c r="C51" s="11" t="n">
        <f aca="false">$A51*Scoring!C$25+$B51*Scoring!C$27+((1-$A51-$B51)/(1-Weights!$C$5-Weights!$C$7))*($B$5-Weights!$C$5*Scoring!C$25-Weights!$C$7*Scoring!C$27)</f>
        <v>66.6081900306596</v>
      </c>
      <c r="D51" s="11" t="n">
        <f aca="false">$A51*Scoring!D$25+$B51*Scoring!D$27+((1-$A51-$B51)/(1-Weights!$C$5-Weights!$C$7))*($B$6-Weights!$C$5*Scoring!D$25-Weights!$C$7*Scoring!D$27)</f>
        <v>32.9949290122755</v>
      </c>
      <c r="E51" s="11" t="n">
        <f aca="false">$A51*Scoring!E$25+$B51*Scoring!E$27+((1-$A51-$B51)/(1-Weights!$C$5-Weights!$C$7))*($B$7-Weights!$C$5*Scoring!E$25-Weights!$C$7*Scoring!E$27)</f>
        <v>40.894417664183</v>
      </c>
      <c r="F51" s="11" t="n">
        <f aca="false">$A51*Scoring!F$25+$B51*Scoring!F$27+((1-$A51-$B51)/(1-Weights!$C$5-Weights!$C$7))*($B$8-Weights!$C$5*Scoring!F$25-Weights!$C$7*Scoring!F$27)</f>
        <v>31.9464402224729</v>
      </c>
      <c r="G51" s="11" t="n">
        <f aca="false">$A51*Scoring!G$25+$B51*Scoring!G$27+((1-$A51-$B51)/(1-Weights!$C$5-Weights!$C$7))*($B$9-Weights!$C$5*Scoring!G$25-Weights!$C$7*Scoring!G$27)</f>
        <v>73.680538694682</v>
      </c>
      <c r="H51" s="11" t="n">
        <f aca="false">$A51*Scoring!H$25+$B51*Scoring!H$27+((1-$A51-$B51)/(1-Weights!$C$5-Weights!$C$7))*($B$10-Weights!$C$5*Scoring!H$25-Weights!$C$7*Scoring!H$27)</f>
        <v>41.9187085358254</v>
      </c>
      <c r="I51" s="36" t="str">
        <f aca="false">INDEX($C$38:$H$38,MATCH(MAX(C51:H51),C51:H51,0))</f>
        <v>Dallas-Fort Worth, TX</v>
      </c>
    </row>
    <row r="52" customFormat="false" ht="15" hidden="false" customHeight="false" outlineLevel="0" collapsed="false">
      <c r="A52" s="38" t="n">
        <v>0.45</v>
      </c>
      <c r="B52" s="38" t="n">
        <v>0.1</v>
      </c>
      <c r="C52" s="11" t="n">
        <f aca="false">$A52*Scoring!C$25+$B52*Scoring!C$27+((1-$A52-$B52)/(1-Weights!$C$5-Weights!$C$7))*($B$5-Weights!$C$5*Scoring!C$25-Weights!$C$7*Scoring!C$27)</f>
        <v>65.0840531648552</v>
      </c>
      <c r="D52" s="11" t="n">
        <f aca="false">$A52*Scoring!D$25+$B52*Scoring!D$27+((1-$A52-$B52)/(1-Weights!$C$5-Weights!$C$7))*($B$6-Weights!$C$5*Scoring!D$25-Weights!$C$7*Scoring!D$27)</f>
        <v>33.9612897695846</v>
      </c>
      <c r="E52" s="11" t="n">
        <f aca="false">$A52*Scoring!E$25+$B52*Scoring!E$27+((1-$A52-$B52)/(1-Weights!$C$5-Weights!$C$7))*($B$7-Weights!$C$5*Scoring!E$25-Weights!$C$7*Scoring!E$27)</f>
        <v>41.3899338775585</v>
      </c>
      <c r="F52" s="11" t="n">
        <f aca="false">$A52*Scoring!F$25+$B52*Scoring!F$27+((1-$A52-$B52)/(1-Weights!$C$5-Weights!$C$7))*($B$8-Weights!$C$5*Scoring!F$25-Weights!$C$7*Scoring!F$27)</f>
        <v>34.6187347187263</v>
      </c>
      <c r="G52" s="11" t="n">
        <f aca="false">$A52*Scoring!G$25+$B52*Scoring!G$27+((1-$A52-$B52)/(1-Weights!$C$5-Weights!$C$7))*($B$9-Weights!$C$5*Scoring!G$25-Weights!$C$7*Scoring!G$27)</f>
        <v>74.486892290759</v>
      </c>
      <c r="H52" s="11" t="n">
        <f aca="false">$A52*Scoring!H$25+$B52*Scoring!H$27+((1-$A52-$B52)/(1-Weights!$C$5-Weights!$C$7))*($B$10-Weights!$C$5*Scoring!H$25-Weights!$C$7*Scoring!H$27)</f>
        <v>43.0577828041941</v>
      </c>
      <c r="I52" s="36" t="str">
        <f aca="false">INDEX($C$38:$H$38,MATCH(MAX(C52:H52),C52:H52,0))</f>
        <v>Dallas-Fort Worth, TX</v>
      </c>
    </row>
    <row r="53" customFormat="false" ht="15" hidden="false" customHeight="false" outlineLevel="0" collapsed="false">
      <c r="A53" s="38" t="n">
        <v>0.45</v>
      </c>
      <c r="B53" s="38" t="n">
        <v>0.2</v>
      </c>
      <c r="C53" s="11" t="n">
        <f aca="false">$A53*Scoring!C$25+$B53*Scoring!C$27+((1-$A53-$B53)/(1-Weights!$C$5-Weights!$C$7))*($B$5-Weights!$C$5*Scoring!C$25-Weights!$C$7*Scoring!C$27)</f>
        <v>62.0357794332465</v>
      </c>
      <c r="D53" s="11" t="n">
        <f aca="false">$A53*Scoring!D$25+$B53*Scoring!D$27+((1-$A53-$B53)/(1-Weights!$C$5-Weights!$C$7))*($B$6-Weights!$C$5*Scoring!D$25-Weights!$C$7*Scoring!D$27)</f>
        <v>35.8940112842026</v>
      </c>
      <c r="E53" s="11" t="n">
        <f aca="false">$A53*Scoring!E$25+$B53*Scoring!E$27+((1-$A53-$B53)/(1-Weights!$C$5-Weights!$C$7))*($B$7-Weights!$C$5*Scoring!E$25-Weights!$C$7*Scoring!E$27)</f>
        <v>42.3809663043095</v>
      </c>
      <c r="F53" s="11" t="n">
        <f aca="false">$A53*Scoring!F$25+$B53*Scoring!F$27+((1-$A53-$B53)/(1-Weights!$C$5-Weights!$C$7))*($B$8-Weights!$C$5*Scoring!F$25-Weights!$C$7*Scoring!F$27)</f>
        <v>39.9633237112331</v>
      </c>
      <c r="G53" s="11" t="n">
        <f aca="false">$A53*Scoring!G$25+$B53*Scoring!G$27+((1-$A53-$B53)/(1-Weights!$C$5-Weights!$C$7))*($B$9-Weights!$C$5*Scoring!G$25-Weights!$C$7*Scoring!G$27)</f>
        <v>76.099599482913</v>
      </c>
      <c r="H53" s="11" t="n">
        <f aca="false">$A53*Scoring!H$25+$B53*Scoring!H$27+((1-$A53-$B53)/(1-Weights!$C$5-Weights!$C$7))*($B$10-Weights!$C$5*Scoring!H$25-Weights!$C$7*Scoring!H$27)</f>
        <v>45.3359313409314</v>
      </c>
      <c r="I53" s="36" t="str">
        <f aca="false">INDEX($C$38:$H$38,MATCH(MAX(C53:H53),C53:H53,0))</f>
        <v>Dallas-Fort Worth, TX</v>
      </c>
    </row>
    <row r="54" customFormat="false" ht="15" hidden="false" customHeight="false" outlineLevel="0" collapsed="false">
      <c r="A54" s="38" t="n">
        <v>0.45</v>
      </c>
      <c r="B54" s="38" t="n">
        <v>0.3</v>
      </c>
      <c r="C54" s="11" t="n">
        <f aca="false">$A54*Scoring!C$25+$B54*Scoring!C$27+((1-$A54-$B54)/(1-Weights!$C$5-Weights!$C$7))*($B$5-Weights!$C$5*Scoring!C$25-Weights!$C$7*Scoring!C$27)</f>
        <v>58.9875057016379</v>
      </c>
      <c r="D54" s="11" t="n">
        <f aca="false">$A54*Scoring!D$25+$B54*Scoring!D$27+((1-$A54-$B54)/(1-Weights!$C$5-Weights!$C$7))*($B$6-Weights!$C$5*Scoring!D$25-Weights!$C$7*Scoring!D$27)</f>
        <v>37.8267327988207</v>
      </c>
      <c r="E54" s="11" t="n">
        <f aca="false">$A54*Scoring!E$25+$B54*Scoring!E$27+((1-$A54-$B54)/(1-Weights!$C$5-Weights!$C$7))*($B$7-Weights!$C$5*Scoring!E$25-Weights!$C$7*Scoring!E$27)</f>
        <v>43.3719987310605</v>
      </c>
      <c r="F54" s="11" t="n">
        <f aca="false">$A54*Scoring!F$25+$B54*Scoring!F$27+((1-$A54-$B54)/(1-Weights!$C$5-Weights!$C$7))*($B$8-Weights!$C$5*Scoring!F$25-Weights!$C$7*Scoring!F$27)</f>
        <v>45.3079127037398</v>
      </c>
      <c r="G54" s="11" t="n">
        <f aca="false">$A54*Scoring!G$25+$B54*Scoring!G$27+((1-$A54-$B54)/(1-Weights!$C$5-Weights!$C$7))*($B$9-Weights!$C$5*Scoring!G$25-Weights!$C$7*Scoring!G$27)</f>
        <v>77.712306675067</v>
      </c>
      <c r="H54" s="11" t="n">
        <f aca="false">$A54*Scoring!H$25+$B54*Scoring!H$27+((1-$A54-$B54)/(1-Weights!$C$5-Weights!$C$7))*($B$10-Weights!$C$5*Scoring!H$25-Weights!$C$7*Scoring!H$27)</f>
        <v>47.6140798776688</v>
      </c>
      <c r="I54" s="36" t="str">
        <f aca="false">INDEX($C$38:$H$38,MATCH(MAX(C54:H54),C54:H54,0))</f>
        <v>Dallas-Fort Worth, TX</v>
      </c>
    </row>
    <row r="57" customFormat="false" ht="15" hidden="false" customHeight="false" outlineLevel="0" collapsed="false">
      <c r="A57" s="3" t="s">
        <v>195</v>
      </c>
    </row>
    <row r="58" customFormat="false" ht="15" hidden="false" customHeight="false" outlineLevel="0" collapsed="false">
      <c r="A58" s="6" t="s">
        <v>196</v>
      </c>
      <c r="B58" s="39" t="n">
        <f aca="false">B39</f>
        <v>0.05</v>
      </c>
      <c r="C58" s="39" t="n">
        <f aca="false">B40</f>
        <v>0.1</v>
      </c>
      <c r="D58" s="39" t="n">
        <f aca="false">B41</f>
        <v>0.2</v>
      </c>
      <c r="E58" s="39" t="n">
        <f aca="false">B42</f>
        <v>0.3</v>
      </c>
    </row>
    <row r="59" customFormat="false" ht="23.85" hidden="false" customHeight="false" outlineLevel="0" collapsed="false">
      <c r="A59" s="26" t="n">
        <f aca="false">A39</f>
        <v>0.15</v>
      </c>
      <c r="B59" s="40" t="str">
        <f aca="false">I39</f>
        <v>Dallas-Fort Worth, TX</v>
      </c>
      <c r="C59" s="40" t="str">
        <f aca="false">I40</f>
        <v>Dallas-Fort Worth, TX</v>
      </c>
      <c r="D59" s="40" t="str">
        <f aca="false">I41</f>
        <v>Dallas-Fort Worth, TX</v>
      </c>
      <c r="E59" s="40" t="str">
        <f aca="false">I42</f>
        <v>Dallas-Fort Worth, TX</v>
      </c>
    </row>
    <row r="60" customFormat="false" ht="23.85" hidden="false" customHeight="false" outlineLevel="0" collapsed="false">
      <c r="A60" s="26" t="n">
        <f aca="false">A43</f>
        <v>0.25</v>
      </c>
      <c r="B60" s="40" t="str">
        <f aca="false">I43</f>
        <v>Dallas-Fort Worth, TX</v>
      </c>
      <c r="C60" s="40" t="str">
        <f aca="false">I44</f>
        <v>Dallas-Fort Worth, TX</v>
      </c>
      <c r="D60" s="40" t="str">
        <f aca="false">I45</f>
        <v>Dallas-Fort Worth, TX</v>
      </c>
      <c r="E60" s="40" t="str">
        <f aca="false">I46</f>
        <v>Dallas-Fort Worth, TX</v>
      </c>
    </row>
    <row r="61" customFormat="false" ht="23.85" hidden="false" customHeight="false" outlineLevel="0" collapsed="false">
      <c r="A61" s="26" t="n">
        <f aca="false">A47</f>
        <v>0.35</v>
      </c>
      <c r="B61" s="40" t="str">
        <f aca="false">I47</f>
        <v>Dallas-Fort Worth, TX</v>
      </c>
      <c r="C61" s="40" t="str">
        <f aca="false">I48</f>
        <v>Dallas-Fort Worth, TX</v>
      </c>
      <c r="D61" s="40" t="str">
        <f aca="false">I49</f>
        <v>Dallas-Fort Worth, TX</v>
      </c>
      <c r="E61" s="40" t="str">
        <f aca="false">I50</f>
        <v>Dallas-Fort Worth, TX</v>
      </c>
    </row>
    <row r="62" customFormat="false" ht="23.85" hidden="false" customHeight="false" outlineLevel="0" collapsed="false">
      <c r="A62" s="26" t="n">
        <f aca="false">A51</f>
        <v>0.45</v>
      </c>
      <c r="B62" s="40" t="str">
        <f aca="false">I51</f>
        <v>Dallas-Fort Worth, TX</v>
      </c>
      <c r="C62" s="40" t="str">
        <f aca="false">I52</f>
        <v>Dallas-Fort Worth, TX</v>
      </c>
      <c r="D62" s="40" t="str">
        <f aca="false">I53</f>
        <v>Dallas-Fort Worth, TX</v>
      </c>
      <c r="E62" s="40" t="str">
        <f aca="false">I54</f>
        <v>Dallas-Fort Worth, TX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2"/>
    <col collapsed="false" customWidth="true" hidden="false" outlineLevel="0" max="5" min="5" style="0" width="22"/>
    <col collapsed="false" customWidth="true" hidden="false" outlineLevel="0" max="11" min="6" style="0" width="17"/>
  </cols>
  <sheetData>
    <row r="1" customFormat="false" ht="17.35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15" hidden="false" customHeight="false" outlineLevel="0" collapsed="false">
      <c r="A4" s="14" t="s">
        <v>199</v>
      </c>
      <c r="B4" s="41" t="n">
        <v>1.5</v>
      </c>
      <c r="C4" s="2" t="s">
        <v>200</v>
      </c>
    </row>
    <row r="5" customFormat="false" ht="15" hidden="false" customHeight="false" outlineLevel="0" collapsed="false">
      <c r="A5" s="14" t="s">
        <v>201</v>
      </c>
      <c r="B5" s="41" t="n">
        <v>200</v>
      </c>
      <c r="C5" s="2" t="s">
        <v>202</v>
      </c>
    </row>
    <row r="8" customFormat="false" ht="15" hidden="false" customHeight="false" outlineLevel="0" collapsed="false">
      <c r="A8" s="2" t="s">
        <v>203</v>
      </c>
    </row>
    <row r="14" customFormat="false" ht="30" hidden="false" customHeight="true" outlineLevel="0" collapsed="false">
      <c r="E14" s="0" t="s">
        <v>204</v>
      </c>
      <c r="F14" s="42" t="s">
        <v>8</v>
      </c>
      <c r="G14" s="42" t="s">
        <v>9</v>
      </c>
      <c r="H14" s="42" t="s">
        <v>10</v>
      </c>
      <c r="I14" s="42" t="s">
        <v>11</v>
      </c>
      <c r="J14" s="42" t="s">
        <v>12</v>
      </c>
      <c r="K14" s="42" t="s">
        <v>13</v>
      </c>
    </row>
    <row r="15" customFormat="false" ht="15" hidden="false" customHeight="false" outlineLevel="0" collapsed="false">
      <c r="A15" s="0" t="s">
        <v>205</v>
      </c>
      <c r="E15" s="3" t="s">
        <v>205</v>
      </c>
      <c r="F15" s="43" t="n">
        <v>47.23</v>
      </c>
      <c r="G15" s="43" t="n">
        <v>45.52</v>
      </c>
      <c r="H15" s="43" t="n">
        <v>33.45</v>
      </c>
      <c r="I15" s="43" t="n">
        <v>39.04</v>
      </c>
      <c r="J15" s="43" t="n">
        <v>32.78</v>
      </c>
      <c r="K15" s="43" t="n">
        <v>39.96</v>
      </c>
    </row>
    <row r="16" customFormat="false" ht="15" hidden="false" customHeight="false" outlineLevel="0" collapsed="false">
      <c r="A16" s="0" t="s">
        <v>206</v>
      </c>
      <c r="E16" s="3" t="s">
        <v>206</v>
      </c>
      <c r="F16" s="43" t="n">
        <v>-119.85</v>
      </c>
      <c r="G16" s="43" t="n">
        <v>-122.99</v>
      </c>
      <c r="H16" s="43" t="n">
        <v>-112.07</v>
      </c>
      <c r="I16" s="43" t="n">
        <v>-77.49</v>
      </c>
      <c r="J16" s="43" t="n">
        <v>-96.8</v>
      </c>
      <c r="K16" s="43" t="n">
        <v>-83</v>
      </c>
    </row>
    <row r="17" customFormat="false" ht="23.85" hidden="false" customHeight="false" outlineLevel="0" collapsed="false">
      <c r="A17" s="6" t="s">
        <v>207</v>
      </c>
      <c r="B17" s="6" t="s">
        <v>208</v>
      </c>
      <c r="C17" s="6" t="s">
        <v>209</v>
      </c>
      <c r="D17" s="6" t="s">
        <v>210</v>
      </c>
      <c r="E17" s="3" t="s">
        <v>211</v>
      </c>
      <c r="F17" s="44" t="s">
        <v>212</v>
      </c>
      <c r="G17" s="44" t="s">
        <v>213</v>
      </c>
      <c r="H17" s="44" t="s">
        <v>10</v>
      </c>
      <c r="I17" s="44" t="s">
        <v>214</v>
      </c>
      <c r="J17" s="44" t="s">
        <v>215</v>
      </c>
      <c r="K17" s="44" t="s">
        <v>13</v>
      </c>
    </row>
    <row r="18" customFormat="false" ht="15" hidden="false" customHeight="false" outlineLevel="0" collapsed="false">
      <c r="A18" s="14" t="s">
        <v>216</v>
      </c>
      <c r="B18" s="43" t="n">
        <v>40.71</v>
      </c>
      <c r="C18" s="43" t="n">
        <v>-74.01</v>
      </c>
      <c r="D18" s="43" t="n">
        <v>19.5</v>
      </c>
      <c r="F18" s="45" t="n">
        <f aca="false">2*(2*6371*ASIN(SQRT(SIN(RADIANS(F$15-$B18)/2)^2+COS(RADIANS($B18))*COS(RADIANS(F$15))*SIN(RADIANS(F$16-$C18)/2)^2)))*$B$4/$B$5</f>
        <v>55.2651512343197</v>
      </c>
      <c r="G18" s="45" t="n">
        <f aca="false">2*(2*6371*ASIN(SQRT(SIN(RADIANS(G$15-$B18)/2)^2+COS(RADIANS($B18))*COS(RADIANS(G$15))*SIN(RADIANS(G$16-$C18)/2)^2)))*$B$4/$B$5</f>
        <v>59.2391928511841</v>
      </c>
      <c r="H18" s="45" t="n">
        <f aca="false">2*(2*6371*ASIN(SQRT(SIN(RADIANS(H$15-$B18)/2)^2+COS(RADIANS($B18))*COS(RADIANS(H$15))*SIN(RADIANS(H$16-$C18)/2)^2)))*$B$4/$B$5</f>
        <v>51.6441393837333</v>
      </c>
      <c r="I18" s="45" t="n">
        <f aca="false">2*(2*6371*ASIN(SQRT(SIN(RADIANS(I$15-$B18)/2)^2+COS(RADIANS($B18))*COS(RADIANS(I$15))*SIN(RADIANS(I$16-$C18)/2)^2)))*$B$4/$B$5</f>
        <v>5.25306537294965</v>
      </c>
      <c r="J18" s="45" t="n">
        <f aca="false">2*(2*6371*ASIN(SQRT(SIN(RADIANS(J$15-$B18)/2)^2+COS(RADIANS($B18))*COS(RADIANS(J$15))*SIN(RADIANS(J$16-$C18)/2)^2)))*$B$4/$B$5</f>
        <v>33.0806258860318</v>
      </c>
      <c r="K18" s="45" t="n">
        <f aca="false">2*(2*6371*ASIN(SQRT(SIN(RADIANS(K$15-$B18)/2)^2+COS(RADIANS($B18))*COS(RADIANS(K$15))*SIN(RADIANS(K$16-$C18)/2)^2)))*$B$4/$B$5</f>
        <v>11.4931116052846</v>
      </c>
    </row>
    <row r="19" customFormat="false" ht="15" hidden="false" customHeight="false" outlineLevel="0" collapsed="false">
      <c r="A19" s="14" t="s">
        <v>217</v>
      </c>
      <c r="B19" s="43" t="n">
        <v>34.05</v>
      </c>
      <c r="C19" s="43" t="n">
        <v>-118.24</v>
      </c>
      <c r="D19" s="43" t="n">
        <v>12.8</v>
      </c>
      <c r="F19" s="45" t="n">
        <f aca="false">2*(2*6371*ASIN(SQRT(SIN(RADIANS(F$15-$B19)/2)^2+COS(RADIANS($B19))*COS(RADIANS(F$15))*SIN(RADIANS(F$16-$C19)/2)^2)))*$B$4/$B$5</f>
        <v>22.0761368744433</v>
      </c>
      <c r="G19" s="45" t="n">
        <f aca="false">2*(2*6371*ASIN(SQRT(SIN(RADIANS(G$15-$B19)/2)^2+COS(RADIANS($B19))*COS(RADIANS(G$15))*SIN(RADIANS(G$16-$C19)/2)^2)))*$B$4/$B$5</f>
        <v>20.0667197869154</v>
      </c>
      <c r="H19" s="45" t="n">
        <f aca="false">2*(2*6371*ASIN(SQRT(SIN(RADIANS(H$15-$B19)/2)^2+COS(RADIANS($B19))*COS(RADIANS(H$15))*SIN(RADIANS(H$16-$C19)/2)^2)))*$B$4/$B$5</f>
        <v>8.61369262849753</v>
      </c>
      <c r="I19" s="45" t="n">
        <f aca="false">2*(2*6371*ASIN(SQRT(SIN(RADIANS(I$15-$B19)/2)^2+COS(RADIANS($B19))*COS(RADIANS(I$15))*SIN(RADIANS(I$16-$C19)/2)^2)))*$B$4/$B$5</f>
        <v>54.7737113465158</v>
      </c>
      <c r="J19" s="45" t="n">
        <f aca="false">2*(2*6371*ASIN(SQRT(SIN(RADIANS(J$15-$B19)/2)^2+COS(RADIANS($B19))*COS(RADIANS(J$15))*SIN(RADIANS(J$16-$C19)/2)^2)))*$B$4/$B$5</f>
        <v>29.8697308126781</v>
      </c>
      <c r="K19" s="45" t="n">
        <f aca="false">2*(2*6371*ASIN(SQRT(SIN(RADIANS(K$15-$B19)/2)^2+COS(RADIANS($B19))*COS(RADIANS(K$15))*SIN(RADIANS(K$16-$C19)/2)^2)))*$B$4/$B$5</f>
        <v>47.6388844411143</v>
      </c>
    </row>
    <row r="20" customFormat="false" ht="15" hidden="false" customHeight="false" outlineLevel="0" collapsed="false">
      <c r="A20" s="14" t="s">
        <v>218</v>
      </c>
      <c r="B20" s="43" t="n">
        <v>41.88</v>
      </c>
      <c r="C20" s="43" t="n">
        <v>-87.63</v>
      </c>
      <c r="D20" s="43" t="n">
        <v>9.3</v>
      </c>
      <c r="F20" s="45" t="n">
        <f aca="false">2*(2*6371*ASIN(SQRT(SIN(RADIANS(F$15-$B20)/2)^2+COS(RADIANS($B20))*COS(RADIANS(F$15))*SIN(RADIANS(F$16-$C20)/2)^2)))*$B$4/$B$5</f>
        <v>39.0216978252675</v>
      </c>
      <c r="G20" s="45" t="n">
        <f aca="false">2*(2*6371*ASIN(SQRT(SIN(RADIANS(G$15-$B20)/2)^2+COS(RADIANS($B20))*COS(RADIANS(G$15))*SIN(RADIANS(G$16-$C20)/2)^2)))*$B$4/$B$5</f>
        <v>42.7169428840902</v>
      </c>
      <c r="H20" s="45" t="n">
        <f aca="false">2*(2*6371*ASIN(SQRT(SIN(RADIANS(H$15-$B20)/2)^2+COS(RADIANS($B20))*COS(RADIANS(H$15))*SIN(RADIANS(H$16-$C20)/2)^2)))*$B$4/$B$5</f>
        <v>35.0395818142148</v>
      </c>
      <c r="I20" s="45" t="n">
        <f aca="false">2*(2*6371*ASIN(SQRT(SIN(RADIANS(I$15-$B20)/2)^2+COS(RADIANS($B20))*COS(RADIANS(I$15))*SIN(RADIANS(I$16-$C20)/2)^2)))*$B$4/$B$5</f>
        <v>13.7017949730912</v>
      </c>
      <c r="J20" s="45" t="n">
        <f aca="false">2*(2*6371*ASIN(SQRT(SIN(RADIANS(J$15-$B20)/2)^2+COS(RADIANS($B20))*COS(RADIANS(J$15))*SIN(RADIANS(J$16-$C20)/2)^2)))*$B$4/$B$5</f>
        <v>19.4245541896893</v>
      </c>
      <c r="K20" s="45" t="n">
        <f aca="false">2*(2*6371*ASIN(SQRT(SIN(RADIANS(K$15-$B20)/2)^2+COS(RADIANS($B20))*COS(RADIANS(K$15))*SIN(RADIANS(K$16-$C20)/2)^2)))*$B$4/$B$5</f>
        <v>6.65491568932141</v>
      </c>
    </row>
    <row r="21" customFormat="false" ht="15" hidden="false" customHeight="false" outlineLevel="0" collapsed="false">
      <c r="A21" s="14" t="s">
        <v>219</v>
      </c>
      <c r="B21" s="43" t="n">
        <v>32.78</v>
      </c>
      <c r="C21" s="43" t="n">
        <v>-96.8</v>
      </c>
      <c r="D21" s="43" t="n">
        <v>8.1</v>
      </c>
      <c r="F21" s="45" t="n">
        <f aca="false">2*(2*6371*ASIN(SQRT(SIN(RADIANS(F$15-$B21)/2)^2+COS(RADIANS($B21))*COS(RADIANS(F$15))*SIN(RADIANS(F$16-$C21)/2)^2)))*$B$4/$B$5</f>
        <v>37.8005703262449</v>
      </c>
      <c r="G21" s="45" t="n">
        <f aca="false">2*(2*6371*ASIN(SQRT(SIN(RADIANS(G$15-$B21)/2)^2+COS(RADIANS($B21))*COS(RADIANS(G$15))*SIN(RADIANS(G$16-$C21)/2)^2)))*$B$4/$B$5</f>
        <v>39.7100648471424</v>
      </c>
      <c r="H21" s="45" t="n">
        <f aca="false">2*(2*6371*ASIN(SQRT(SIN(RADIANS(H$15-$B21)/2)^2+COS(RADIANS($B21))*COS(RADIANS(H$15))*SIN(RADIANS(H$16-$C21)/2)^2)))*$B$4/$B$5</f>
        <v>21.3424489928903</v>
      </c>
      <c r="I21" s="45" t="n">
        <f aca="false">2*(2*6371*ASIN(SQRT(SIN(RADIANS(I$15-$B21)/2)^2+COS(RADIANS($B21))*COS(RADIANS(I$15))*SIN(RADIANS(I$16-$C21)/2)^2)))*$B$4/$B$5</f>
        <v>28.0273945553602</v>
      </c>
      <c r="J21" s="45" t="n">
        <f aca="false">2*(2*6371*ASIN(SQRT(SIN(RADIANS(J$15-$B21)/2)^2+COS(RADIANS($B21))*COS(RADIANS(J$15))*SIN(RADIANS(J$16-$C21)/2)^2)))*$B$4/$B$5</f>
        <v>0</v>
      </c>
      <c r="K21" s="45" t="n">
        <f aca="false">2*(2*6371*ASIN(SQRT(SIN(RADIANS(K$15-$B21)/2)^2+COS(RADIANS($B21))*COS(RADIANS(K$15))*SIN(RADIANS(K$16-$C21)/2)^2)))*$B$4/$B$5</f>
        <v>22.0260283090508</v>
      </c>
    </row>
    <row r="22" customFormat="false" ht="15" hidden="false" customHeight="false" outlineLevel="0" collapsed="false">
      <c r="A22" s="14" t="s">
        <v>220</v>
      </c>
      <c r="B22" s="43" t="n">
        <v>29.76</v>
      </c>
      <c r="C22" s="43" t="n">
        <v>-95.37</v>
      </c>
      <c r="D22" s="43" t="n">
        <v>7.5</v>
      </c>
      <c r="F22" s="45" t="n">
        <f aca="false">2*(2*6371*ASIN(SQRT(SIN(RADIANS(F$15-$B22)/2)^2+COS(RADIANS($B22))*COS(RADIANS(F$15))*SIN(RADIANS(F$16-$C22)/2)^2)))*$B$4/$B$5</f>
        <v>42.908612568632</v>
      </c>
      <c r="G22" s="45" t="n">
        <f aca="false">2*(2*6371*ASIN(SQRT(SIN(RADIANS(G$15-$B22)/2)^2+COS(RADIANS($B22))*COS(RADIANS(G$15))*SIN(RADIANS(G$16-$C22)/2)^2)))*$B$4/$B$5</f>
        <v>44.5928310499433</v>
      </c>
      <c r="H22" s="45" t="n">
        <f aca="false">2*(2*6371*ASIN(SQRT(SIN(RADIANS(H$15-$B22)/2)^2+COS(RADIANS($B22))*COS(RADIANS(H$15))*SIN(RADIANS(H$16-$C22)/2)^2)))*$B$4/$B$5</f>
        <v>24.4774281253637</v>
      </c>
      <c r="I22" s="45" t="n">
        <f aca="false">2*(2*6371*ASIN(SQRT(SIN(RADIANS(I$15-$B22)/2)^2+COS(RADIANS($B22))*COS(RADIANS(I$15))*SIN(RADIANS(I$16-$C22)/2)^2)))*$B$4/$B$5</f>
        <v>28.9880844910924</v>
      </c>
      <c r="J22" s="45" t="n">
        <f aca="false">2*(2*6371*ASIN(SQRT(SIN(RADIANS(J$15-$B22)/2)^2+COS(RADIANS($B22))*COS(RADIANS(J$15))*SIN(RADIANS(J$16-$C22)/2)^2)))*$B$4/$B$5</f>
        <v>5.43384470385068</v>
      </c>
      <c r="K22" s="45" t="n">
        <f aca="false">2*(2*6371*ASIN(SQRT(SIN(RADIANS(K$15-$B22)/2)^2+COS(RADIANS($B22))*COS(RADIANS(K$15))*SIN(RADIANS(K$16-$C22)/2)^2)))*$B$4/$B$5</f>
        <v>23.9546702511135</v>
      </c>
    </row>
    <row r="23" customFormat="false" ht="15" hidden="false" customHeight="false" outlineLevel="0" collapsed="false">
      <c r="A23" s="14" t="s">
        <v>221</v>
      </c>
      <c r="B23" s="43" t="n">
        <v>38.9</v>
      </c>
      <c r="C23" s="43" t="n">
        <v>-77.04</v>
      </c>
      <c r="D23" s="43" t="n">
        <v>6.4</v>
      </c>
      <c r="F23" s="45" t="n">
        <f aca="false">2*(2*6371*ASIN(SQRT(SIN(RADIANS(F$15-$B23)/2)^2+COS(RADIANS($B23))*COS(RADIANS(F$15))*SIN(RADIANS(F$16-$C23)/2)^2)))*$B$4/$B$5</f>
        <v>53.261085253628</v>
      </c>
      <c r="G23" s="45" t="n">
        <f aca="false">2*(2*6371*ASIN(SQRT(SIN(RADIANS(G$15-$B23)/2)^2+COS(RADIANS($B23))*COS(RADIANS(G$15))*SIN(RADIANS(G$16-$C23)/2)^2)))*$B$4/$B$5</f>
        <v>57.0266315102404</v>
      </c>
      <c r="H23" s="45" t="n">
        <f aca="false">2*(2*6371*ASIN(SQRT(SIN(RADIANS(H$15-$B23)/2)^2+COS(RADIANS($B23))*COS(RADIANS(H$15))*SIN(RADIANS(H$16-$C23)/2)^2)))*$B$4/$B$5</f>
        <v>47.7286711452454</v>
      </c>
      <c r="I23" s="45" t="n">
        <f aca="false">2*(2*6371*ASIN(SQRT(SIN(RADIANS(I$15-$B23)/2)^2+COS(RADIANS($B23))*COS(RADIANS(I$15))*SIN(RADIANS(I$16-$C23)/2)^2)))*$B$4/$B$5</f>
        <v>0.628531466142553</v>
      </c>
      <c r="J23" s="45" t="n">
        <f aca="false">2*(2*6371*ASIN(SQRT(SIN(RADIANS(J$15-$B23)/2)^2+COS(RADIANS($B23))*COS(RADIANS(J$15))*SIN(RADIANS(J$16-$C23)/2)^2)))*$B$4/$B$5</f>
        <v>28.5280245617832</v>
      </c>
      <c r="K23" s="45" t="n">
        <f aca="false">2*(2*6371*ASIN(SQRT(SIN(RADIANS(K$15-$B23)/2)^2+COS(RADIANS($B23))*COS(RADIANS(K$15))*SIN(RADIANS(K$16-$C23)/2)^2)))*$B$4/$B$5</f>
        <v>7.87754076180166</v>
      </c>
    </row>
    <row r="24" customFormat="false" ht="15" hidden="false" customHeight="false" outlineLevel="0" collapsed="false">
      <c r="A24" s="14" t="s">
        <v>222</v>
      </c>
      <c r="B24" s="43" t="n">
        <v>33.75</v>
      </c>
      <c r="C24" s="43" t="n">
        <v>-84.39</v>
      </c>
      <c r="D24" s="43" t="n">
        <v>6.3</v>
      </c>
      <c r="F24" s="45" t="n">
        <f aca="false">2*(2*6371*ASIN(SQRT(SIN(RADIANS(F$15-$B24)/2)^2+COS(RADIANS($B24))*COS(RADIANS(F$15))*SIN(RADIANS(F$16-$C24)/2)^2)))*$B$4/$B$5</f>
        <v>49.7115421739405</v>
      </c>
      <c r="G24" s="45" t="n">
        <f aca="false">2*(2*6371*ASIN(SQRT(SIN(RADIANS(G$15-$B24)/2)^2+COS(RADIANS($B24))*COS(RADIANS(G$15))*SIN(RADIANS(G$16-$C24)/2)^2)))*$B$4/$B$5</f>
        <v>52.7125790389629</v>
      </c>
      <c r="H24" s="45" t="n">
        <f aca="false">2*(2*6371*ASIN(SQRT(SIN(RADIANS(H$15-$B24)/2)^2+COS(RADIANS($B24))*COS(RADIANS(H$15))*SIN(RADIANS(H$16-$C24)/2)^2)))*$B$4/$B$5</f>
        <v>38.3412862327019</v>
      </c>
      <c r="I24" s="45" t="n">
        <f aca="false">2*(2*6371*ASIN(SQRT(SIN(RADIANS(I$15-$B24)/2)^2+COS(RADIANS($B24))*COS(RADIANS(I$15))*SIN(RADIANS(I$16-$C24)/2)^2)))*$B$4/$B$5</f>
        <v>12.785655906776</v>
      </c>
      <c r="J24" s="45" t="n">
        <f aca="false">2*(2*6371*ASIN(SQRT(SIN(RADIANS(J$15-$B24)/2)^2+COS(RADIANS($B24))*COS(RADIANS(J$15))*SIN(RADIANS(J$16-$C24)/2)^2)))*$B$4/$B$5</f>
        <v>17.3720792125772</v>
      </c>
      <c r="K24" s="45" t="n">
        <f aca="false">2*(2*6371*ASIN(SQRT(SIN(RADIANS(K$15-$B24)/2)^2+COS(RADIANS($B24))*COS(RADIANS(K$15))*SIN(RADIANS(K$16-$C24)/2)^2)))*$B$4/$B$5</f>
        <v>10.5221875003467</v>
      </c>
    </row>
    <row r="25" customFormat="false" ht="15" hidden="false" customHeight="false" outlineLevel="0" collapsed="false">
      <c r="A25" s="14" t="s">
        <v>223</v>
      </c>
      <c r="B25" s="43" t="n">
        <v>39.95</v>
      </c>
      <c r="C25" s="43" t="n">
        <v>-75.17</v>
      </c>
      <c r="D25" s="43" t="n">
        <v>6.2</v>
      </c>
      <c r="F25" s="45" t="n">
        <f aca="false">2*(2*6371*ASIN(SQRT(SIN(RADIANS(F$15-$B25)/2)^2+COS(RADIANS($B25))*COS(RADIANS(F$15))*SIN(RADIANS(F$16-$C25)/2)^2)))*$B$4/$B$5</f>
        <v>54.5398659499912</v>
      </c>
      <c r="G25" s="45" t="n">
        <f aca="false">2*(2*6371*ASIN(SQRT(SIN(RADIANS(G$15-$B25)/2)^2+COS(RADIANS($B25))*COS(RADIANS(G$15))*SIN(RADIANS(G$16-$C25)/2)^2)))*$B$4/$B$5</f>
        <v>58.4341656177758</v>
      </c>
      <c r="H25" s="45" t="n">
        <f aca="false">2*(2*6371*ASIN(SQRT(SIN(RADIANS(H$15-$B25)/2)^2+COS(RADIANS($B25))*COS(RADIANS(H$15))*SIN(RADIANS(H$16-$C25)/2)^2)))*$B$4/$B$5</f>
        <v>50.1487039692568</v>
      </c>
      <c r="I25" s="45" t="n">
        <f aca="false">2*(2*6371*ASIN(SQRT(SIN(RADIANS(I$15-$B25)/2)^2+COS(RADIANS($B25))*COS(RADIANS(I$15))*SIN(RADIANS(I$16-$C25)/2)^2)))*$B$4/$B$5</f>
        <v>3.34953189779752</v>
      </c>
      <c r="J25" s="45" t="n">
        <f aca="false">2*(2*6371*ASIN(SQRT(SIN(RADIANS(J$15-$B25)/2)^2+COS(RADIANS($B25))*COS(RADIANS(J$15))*SIN(RADIANS(J$16-$C25)/2)^2)))*$B$4/$B$5</f>
        <v>31.3137568035895</v>
      </c>
      <c r="K25" s="45" t="n">
        <f aca="false">2*(2*6371*ASIN(SQRT(SIN(RADIANS(K$15-$B25)/2)^2+COS(RADIANS($B25))*COS(RADIANS(K$15))*SIN(RADIANS(K$16-$C25)/2)^2)))*$B$4/$B$5</f>
        <v>10.0078090972916</v>
      </c>
    </row>
    <row r="26" customFormat="false" ht="15" hidden="false" customHeight="false" outlineLevel="0" collapsed="false">
      <c r="A26" s="14" t="s">
        <v>224</v>
      </c>
      <c r="B26" s="43" t="n">
        <v>25.76</v>
      </c>
      <c r="C26" s="43" t="n">
        <v>-80.19</v>
      </c>
      <c r="D26" s="43" t="n">
        <v>6.2</v>
      </c>
      <c r="F26" s="45" t="n">
        <f aca="false">2*(2*6371*ASIN(SQRT(SIN(RADIANS(F$15-$B26)/2)^2+COS(RADIANS($B26))*COS(RADIANS(F$15))*SIN(RADIANS(F$16-$C26)/2)^2)))*$B$4/$B$5</f>
        <v>63.0946417011633</v>
      </c>
      <c r="G26" s="45" t="n">
        <f aca="false">2*(2*6371*ASIN(SQRT(SIN(RADIANS(G$15-$B26)/2)^2+COS(RADIANS($B26))*COS(RADIANS(G$15))*SIN(RADIANS(G$16-$C26)/2)^2)))*$B$4/$B$5</f>
        <v>65.6621437585659</v>
      </c>
      <c r="H26" s="45" t="n">
        <f aca="false">2*(2*6371*ASIN(SQRT(SIN(RADIANS(H$15-$B26)/2)^2+COS(RADIANS($B26))*COS(RADIANS(H$15))*SIN(RADIANS(H$16-$C26)/2)^2)))*$B$4/$B$5</f>
        <v>47.7680677823373</v>
      </c>
      <c r="I26" s="45" t="n">
        <f aca="false">2*(2*6371*ASIN(SQRT(SIN(RADIANS(I$15-$B26)/2)^2+COS(RADIANS($B26))*COS(RADIANS(I$15))*SIN(RADIANS(I$16-$C26)/2)^2)))*$B$4/$B$5</f>
        <v>22.4708142878155</v>
      </c>
      <c r="J26" s="45" t="n">
        <f aca="false">2*(2*6371*ASIN(SQRT(SIN(RADIANS(J$15-$B26)/2)^2+COS(RADIANS($B26))*COS(RADIANS(J$15))*SIN(RADIANS(J$16-$C26)/2)^2)))*$B$4/$B$5</f>
        <v>26.8093112005989</v>
      </c>
      <c r="K26" s="45" t="n">
        <f aca="false">2*(2*6371*ASIN(SQRT(SIN(RADIANS(K$15-$B26)/2)^2+COS(RADIANS($B26))*COS(RADIANS(K$15))*SIN(RADIANS(K$16-$C26)/2)^2)))*$B$4/$B$5</f>
        <v>24.005748767164</v>
      </c>
    </row>
    <row r="27" customFormat="false" ht="15" hidden="false" customHeight="false" outlineLevel="0" collapsed="false">
      <c r="A27" s="14" t="s">
        <v>225</v>
      </c>
      <c r="B27" s="43" t="n">
        <v>33.45</v>
      </c>
      <c r="C27" s="43" t="n">
        <v>-112.07</v>
      </c>
      <c r="D27" s="43" t="n">
        <v>5.1</v>
      </c>
      <c r="F27" s="45" t="n">
        <f aca="false">2*(2*6371*ASIN(SQRT(SIN(RADIANS(F$15-$B27)/2)^2+COS(RADIANS($B27))*COS(RADIANS(F$15))*SIN(RADIANS(F$16-$C27)/2)^2)))*$B$4/$B$5</f>
        <v>24.9906518832578</v>
      </c>
      <c r="G27" s="45" t="n">
        <f aca="false">2*(2*6371*ASIN(SQRT(SIN(RADIANS(G$15-$B27)/2)^2+COS(RADIANS($B27))*COS(RADIANS(G$15))*SIN(RADIANS(G$16-$C27)/2)^2)))*$B$4/$B$5</f>
        <v>24.503637506254</v>
      </c>
      <c r="H27" s="45" t="n">
        <f aca="false">2*(2*6371*ASIN(SQRT(SIN(RADIANS(H$15-$B27)/2)^2+COS(RADIANS($B27))*COS(RADIANS(H$15))*SIN(RADIANS(H$16-$C27)/2)^2)))*$B$4/$B$5</f>
        <v>0</v>
      </c>
      <c r="I27" s="45" t="n">
        <f aca="false">2*(2*6371*ASIN(SQRT(SIN(RADIANS(I$15-$B27)/2)^2+COS(RADIANS($B27))*COS(RADIANS(I$15))*SIN(RADIANS(I$16-$C27)/2)^2)))*$B$4/$B$5</f>
        <v>47.1462714349559</v>
      </c>
      <c r="J27" s="45" t="n">
        <f aca="false">2*(2*6371*ASIN(SQRT(SIN(RADIANS(J$15-$B27)/2)^2+COS(RADIANS($B27))*COS(RADIANS(J$15))*SIN(RADIANS(J$16-$C27)/2)^2)))*$B$4/$B$5</f>
        <v>21.3424489928903</v>
      </c>
      <c r="K27" s="45" t="n">
        <f aca="false">2*(2*6371*ASIN(SQRT(SIN(RADIANS(K$15-$B27)/2)^2+COS(RADIANS($B27))*COS(RADIANS(K$15))*SIN(RADIANS(K$16-$C27)/2)^2)))*$B$4/$B$5</f>
        <v>40.1610491540784</v>
      </c>
    </row>
    <row r="28" customFormat="false" ht="15" hidden="false" customHeight="false" outlineLevel="0" collapsed="false">
      <c r="A28" s="14" t="s">
        <v>226</v>
      </c>
      <c r="B28" s="43" t="n">
        <v>42.36</v>
      </c>
      <c r="C28" s="43" t="n">
        <v>-71.06</v>
      </c>
      <c r="D28" s="43" t="n">
        <v>4.9</v>
      </c>
      <c r="F28" s="45" t="n">
        <f aca="false">2*(2*6371*ASIN(SQRT(SIN(RADIANS(F$15-$B28)/2)^2+COS(RADIANS($B28))*COS(RADIANS(F$15))*SIN(RADIANS(F$16-$C28)/2)^2)))*$B$4/$B$5</f>
        <v>57.3627244308578</v>
      </c>
      <c r="G28" s="45" t="n">
        <f aca="false">2*(2*6371*ASIN(SQRT(SIN(RADIANS(G$15-$B28)/2)^2+COS(RADIANS($B28))*COS(RADIANS(G$15))*SIN(RADIANS(G$16-$C28)/2)^2)))*$B$4/$B$5</f>
        <v>61.4974893418076</v>
      </c>
      <c r="H28" s="45" t="n">
        <f aca="false">2*(2*6371*ASIN(SQRT(SIN(RADIANS(H$15-$B28)/2)^2+COS(RADIANS($B28))*COS(RADIANS(H$15))*SIN(RADIANS(H$16-$C28)/2)^2)))*$B$4/$B$5</f>
        <v>55.3981632416705</v>
      </c>
      <c r="I28" s="45" t="n">
        <f aca="false">2*(2*6371*ASIN(SQRT(SIN(RADIANS(I$15-$B28)/2)^2+COS(RADIANS($B28))*COS(RADIANS(I$15))*SIN(RADIANS(I$16-$C28)/2)^2)))*$B$4/$B$5</f>
        <v>9.83284484611842</v>
      </c>
      <c r="J28" s="45" t="n">
        <f aca="false">2*(2*6371*ASIN(SQRT(SIN(RADIANS(J$15-$B28)/2)^2+COS(RADIANS($B28))*COS(RADIANS(J$15))*SIN(RADIANS(J$16-$C28)/2)^2)))*$B$4/$B$5</f>
        <v>37.3957302653992</v>
      </c>
      <c r="K28" s="45" t="n">
        <f aca="false">2*(2*6371*ASIN(SQRT(SIN(RADIANS(K$15-$B28)/2)^2+COS(RADIANS($B28))*COS(RADIANS(K$15))*SIN(RADIANS(K$16-$C28)/2)^2)))*$B$4/$B$5</f>
        <v>15.5038078577583</v>
      </c>
    </row>
    <row r="29" customFormat="false" ht="15" hidden="false" customHeight="false" outlineLevel="0" collapsed="false">
      <c r="A29" s="14" t="s">
        <v>227</v>
      </c>
      <c r="B29" s="43" t="n">
        <v>37.77</v>
      </c>
      <c r="C29" s="43" t="n">
        <v>-122.42</v>
      </c>
      <c r="D29" s="43" t="n">
        <v>4.6</v>
      </c>
      <c r="F29" s="45" t="n">
        <f aca="false">2*(2*6371*ASIN(SQRT(SIN(RADIANS(F$15-$B29)/2)^2+COS(RADIANS($B29))*COS(RADIANS(F$15))*SIN(RADIANS(F$16-$C29)/2)^2)))*$B$4/$B$5</f>
        <v>16.0894453824068</v>
      </c>
      <c r="G29" s="45" t="n">
        <f aca="false">2*(2*6371*ASIN(SQRT(SIN(RADIANS(G$15-$B29)/2)^2+COS(RADIANS($B29))*COS(RADIANS(G$15))*SIN(RADIANS(G$16-$C29)/2)^2)))*$B$4/$B$5</f>
        <v>12.9458185420807</v>
      </c>
      <c r="H29" s="45" t="n">
        <f aca="false">2*(2*6371*ASIN(SQRT(SIN(RADIANS(H$15-$B29)/2)^2+COS(RADIANS($B29))*COS(RADIANS(H$15))*SIN(RADIANS(H$16-$C29)/2)^2)))*$B$4/$B$5</f>
        <v>15.7630984309487</v>
      </c>
      <c r="I29" s="45" t="n">
        <f aca="false">2*(2*6371*ASIN(SQRT(SIN(RADIANS(I$15-$B29)/2)^2+COS(RADIANS($B29))*COS(RADIANS(I$15))*SIN(RADIANS(I$16-$C29)/2)^2)))*$B$4/$B$5</f>
        <v>58.1594815373428</v>
      </c>
      <c r="J29" s="45" t="n">
        <f aca="false">2*(2*6371*ASIN(SQRT(SIN(RADIANS(J$15-$B29)/2)^2+COS(RADIANS($B29))*COS(RADIANS(J$15))*SIN(RADIANS(J$16-$C29)/2)^2)))*$B$4/$B$5</f>
        <v>35.7427798265531</v>
      </c>
      <c r="K29" s="45" t="n">
        <f aca="false">2*(2*6371*ASIN(SQRT(SIN(RADIANS(K$15-$B29)/2)^2+COS(RADIANS($B29))*COS(RADIANS(K$15))*SIN(RADIANS(K$16-$C29)/2)^2)))*$B$4/$B$5</f>
        <v>50.908052319923</v>
      </c>
    </row>
    <row r="30" customFormat="false" ht="15" hidden="false" customHeight="false" outlineLevel="0" collapsed="false">
      <c r="A30" s="14" t="s">
        <v>228</v>
      </c>
      <c r="B30" s="43" t="n">
        <v>47.61</v>
      </c>
      <c r="C30" s="43" t="n">
        <v>-122.33</v>
      </c>
      <c r="D30" s="43" t="n">
        <v>4.1</v>
      </c>
      <c r="F30" s="45" t="n">
        <f aca="false">2*(2*6371*ASIN(SQRT(SIN(RADIANS(F$15-$B30)/2)^2+COS(RADIANS($B30))*COS(RADIANS(F$15))*SIN(RADIANS(F$16-$C30)/2)^2)))*$B$4/$B$5</f>
        <v>2.86953170212922</v>
      </c>
      <c r="G30" s="45" t="n">
        <f aca="false">2*(2*6371*ASIN(SQRT(SIN(RADIANS(G$15-$B30)/2)^2+COS(RADIANS($B30))*COS(RADIANS(G$15))*SIN(RADIANS(G$16-$C30)/2)^2)))*$B$4/$B$5</f>
        <v>3.56713800559341</v>
      </c>
      <c r="H30" s="45" t="n">
        <f aca="false">2*(2*6371*ASIN(SQRT(SIN(RADIANS(H$15-$B30)/2)^2+COS(RADIANS($B30))*COS(RADIANS(H$15))*SIN(RADIANS(H$16-$C30)/2)^2)))*$B$4/$B$5</f>
        <v>26.9077975853471</v>
      </c>
      <c r="I30" s="45" t="n">
        <f aca="false">2*(2*6371*ASIN(SQRT(SIN(RADIANS(I$15-$B30)/2)^2+COS(RADIANS($B30))*COS(RADIANS(I$15))*SIN(RADIANS(I$16-$C30)/2)^2)))*$B$4/$B$5</f>
        <v>55.4215409031472</v>
      </c>
      <c r="J30" s="45" t="n">
        <f aca="false">2*(2*6371*ASIN(SQRT(SIN(RADIANS(J$15-$B30)/2)^2+COS(RADIANS($B30))*COS(RADIANS(J$15))*SIN(RADIANS(J$16-$C30)/2)^2)))*$B$4/$B$5</f>
        <v>40.5439595830214</v>
      </c>
      <c r="K30" s="45" t="n">
        <f aca="false">2*(2*6371*ASIN(SQRT(SIN(RADIANS(K$15-$B30)/2)^2+COS(RADIANS($B30))*COS(RADIANS(K$15))*SIN(RADIANS(K$16-$C30)/2)^2)))*$B$4/$B$5</f>
        <v>48.4799258728276</v>
      </c>
    </row>
    <row r="31" customFormat="false" ht="15" hidden="false" customHeight="false" outlineLevel="0" collapsed="false">
      <c r="A31" s="3" t="s">
        <v>229</v>
      </c>
      <c r="F31" s="46" t="n">
        <f aca="false">SUMPRODUCT(F18:F30,$D$18:$D$30)/SUM($D$18:$D$30)</f>
        <v>41.8697011540024</v>
      </c>
      <c r="G31" s="46" t="n">
        <f aca="false">SUMPRODUCT(G18:G30,$D$18:$D$30)/SUM($D$18:$D$30)</f>
        <v>43.8843830568976</v>
      </c>
      <c r="H31" s="46" t="n">
        <f aca="false">SUMPRODUCT(H18:H30,$D$18:$D$30)/SUM($D$18:$D$30)</f>
        <v>33.7427668168748</v>
      </c>
      <c r="I31" s="46" t="n">
        <f aca="false">SUMPRODUCT(I18:I30,$D$18:$D$30)/SUM($D$18:$D$30)</f>
        <v>23.7964825705447</v>
      </c>
      <c r="J31" s="46" t="n">
        <f aca="false">SUMPRODUCT(J18:J30,$D$18:$D$30)/SUM($D$18:$D$30)</f>
        <v>24.9893664944578</v>
      </c>
      <c r="K31" s="46" t="n">
        <f aca="false">SUMPRODUCT(K18:K30,$D$18:$D$30)/SUM($D$18:$D$30)</f>
        <v>22.7245526343867</v>
      </c>
    </row>
    <row r="33" customFormat="false" ht="15" hidden="false" customHeight="false" outlineLevel="0" collapsed="false">
      <c r="A33" s="2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40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232</v>
      </c>
    </row>
    <row r="4" customFormat="false" ht="15" hidden="false" customHeight="false" outlineLevel="0" collapsed="false">
      <c r="A4" s="6" t="s">
        <v>233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  <c r="G4" s="6" t="s">
        <v>13</v>
      </c>
    </row>
    <row r="5" customFormat="false" ht="117.75" hidden="false" customHeight="true" outlineLevel="0" collapsed="false">
      <c r="A5" s="47" t="s">
        <v>234</v>
      </c>
      <c r="B5" s="16" t="s">
        <v>235</v>
      </c>
      <c r="C5" s="16" t="s">
        <v>236</v>
      </c>
      <c r="D5" s="16" t="s">
        <v>237</v>
      </c>
      <c r="E5" s="16" t="s">
        <v>238</v>
      </c>
      <c r="F5" s="16" t="s">
        <v>239</v>
      </c>
      <c r="G5" s="16" t="s">
        <v>240</v>
      </c>
    </row>
    <row r="6" customFormat="false" ht="117.75" hidden="false" customHeight="true" outlineLevel="0" collapsed="false">
      <c r="A6" s="47" t="s">
        <v>241</v>
      </c>
      <c r="B6" s="16" t="s">
        <v>242</v>
      </c>
      <c r="C6" s="16" t="s">
        <v>243</v>
      </c>
      <c r="D6" s="16" t="s">
        <v>244</v>
      </c>
      <c r="E6" s="16" t="s">
        <v>245</v>
      </c>
      <c r="F6" s="16" t="s">
        <v>246</v>
      </c>
      <c r="G6" s="16" t="s">
        <v>247</v>
      </c>
    </row>
    <row r="7" customFormat="false" ht="117.75" hidden="false" customHeight="true" outlineLevel="0" collapsed="false">
      <c r="A7" s="47" t="s">
        <v>248</v>
      </c>
      <c r="B7" s="16" t="s">
        <v>249</v>
      </c>
      <c r="C7" s="16" t="s">
        <v>250</v>
      </c>
      <c r="D7" s="16" t="s">
        <v>251</v>
      </c>
      <c r="E7" s="16" t="s">
        <v>252</v>
      </c>
      <c r="F7" s="16" t="s">
        <v>253</v>
      </c>
      <c r="G7" s="16" t="s">
        <v>254</v>
      </c>
    </row>
    <row r="8" customFormat="false" ht="117.75" hidden="false" customHeight="true" outlineLevel="0" collapsed="false">
      <c r="A8" s="47" t="s">
        <v>255</v>
      </c>
      <c r="B8" s="16" t="s">
        <v>256</v>
      </c>
      <c r="C8" s="16" t="s">
        <v>257</v>
      </c>
      <c r="D8" s="16" t="s">
        <v>258</v>
      </c>
      <c r="E8" s="16" t="s">
        <v>259</v>
      </c>
      <c r="F8" s="16" t="s">
        <v>260</v>
      </c>
      <c r="G8" s="16" t="s">
        <v>261</v>
      </c>
    </row>
    <row r="9" customFormat="false" ht="117.75" hidden="false" customHeight="true" outlineLevel="0" collapsed="false">
      <c r="A9" s="47" t="s">
        <v>262</v>
      </c>
      <c r="B9" s="16" t="s">
        <v>263</v>
      </c>
      <c r="C9" s="16" t="s">
        <v>264</v>
      </c>
      <c r="D9" s="16" t="s">
        <v>265</v>
      </c>
      <c r="E9" s="16" t="s">
        <v>266</v>
      </c>
      <c r="F9" s="16" t="s">
        <v>267</v>
      </c>
      <c r="G9" s="16" t="s">
        <v>268</v>
      </c>
    </row>
    <row r="10" customFormat="false" ht="117.75" hidden="false" customHeight="true" outlineLevel="0" collapsed="false">
      <c r="A10" s="47" t="s">
        <v>269</v>
      </c>
      <c r="B10" s="16" t="s">
        <v>270</v>
      </c>
      <c r="C10" s="16" t="s">
        <v>271</v>
      </c>
      <c r="D10" s="16" t="s">
        <v>272</v>
      </c>
      <c r="E10" s="16" t="s">
        <v>273</v>
      </c>
      <c r="F10" s="16" t="s">
        <v>274</v>
      </c>
      <c r="G10" s="16" t="s">
        <v>275</v>
      </c>
    </row>
    <row r="11" customFormat="false" ht="117.75" hidden="false" customHeight="true" outlineLevel="0" collapsed="false">
      <c r="A11" s="47" t="s">
        <v>276</v>
      </c>
      <c r="B11" s="16" t="s">
        <v>277</v>
      </c>
      <c r="C11" s="16" t="s">
        <v>278</v>
      </c>
      <c r="D11" s="16" t="s">
        <v>279</v>
      </c>
      <c r="E11" s="16" t="s">
        <v>280</v>
      </c>
      <c r="F11" s="16" t="s">
        <v>281</v>
      </c>
      <c r="G11" s="16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4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283</v>
      </c>
    </row>
    <row r="4" customFormat="false" ht="15" hidden="false" customHeight="false" outlineLevel="0" collapsed="false">
      <c r="A4" s="6" t="s">
        <v>27</v>
      </c>
      <c r="B4" s="6" t="s">
        <v>284</v>
      </c>
      <c r="C4" s="6" t="s">
        <v>285</v>
      </c>
      <c r="D4" s="6" t="s">
        <v>286</v>
      </c>
      <c r="E4" s="6" t="s">
        <v>287</v>
      </c>
    </row>
    <row r="5" customFormat="false" ht="15" hidden="false" customHeight="false" outlineLevel="0" collapsed="false">
      <c r="A5" s="16" t="s">
        <v>45</v>
      </c>
      <c r="B5" s="16" t="s">
        <v>288</v>
      </c>
      <c r="C5" s="16" t="s">
        <v>289</v>
      </c>
      <c r="D5" s="16" t="s">
        <v>290</v>
      </c>
      <c r="E5" s="16" t="s">
        <v>291</v>
      </c>
    </row>
    <row r="6" customFormat="false" ht="23.85" hidden="false" customHeight="false" outlineLevel="0" collapsed="false">
      <c r="A6" s="16" t="s">
        <v>292</v>
      </c>
      <c r="B6" s="16" t="s">
        <v>293</v>
      </c>
      <c r="C6" s="16" t="s">
        <v>294</v>
      </c>
      <c r="D6" s="16" t="s">
        <v>295</v>
      </c>
      <c r="E6" s="16" t="s">
        <v>296</v>
      </c>
    </row>
    <row r="7" customFormat="false" ht="23.85" hidden="false" customHeight="false" outlineLevel="0" collapsed="false">
      <c r="A7" s="16" t="s">
        <v>297</v>
      </c>
      <c r="B7" s="16" t="s">
        <v>298</v>
      </c>
      <c r="C7" s="16" t="s">
        <v>299</v>
      </c>
      <c r="D7" s="16" t="s">
        <v>290</v>
      </c>
      <c r="E7" s="16" t="s">
        <v>300</v>
      </c>
    </row>
    <row r="8" customFormat="false" ht="15" hidden="false" customHeight="false" outlineLevel="0" collapsed="false">
      <c r="A8" s="16" t="s">
        <v>301</v>
      </c>
      <c r="B8" s="16" t="s">
        <v>302</v>
      </c>
      <c r="C8" s="16" t="s">
        <v>303</v>
      </c>
      <c r="D8" s="16" t="s">
        <v>290</v>
      </c>
      <c r="E8" s="16" t="s">
        <v>304</v>
      </c>
    </row>
    <row r="9" customFormat="false" ht="23.85" hidden="false" customHeight="false" outlineLevel="0" collapsed="false">
      <c r="A9" s="16" t="s">
        <v>305</v>
      </c>
      <c r="B9" s="16" t="s">
        <v>306</v>
      </c>
      <c r="C9" s="16" t="s">
        <v>307</v>
      </c>
      <c r="D9" s="16" t="s">
        <v>290</v>
      </c>
      <c r="E9" s="16" t="s">
        <v>308</v>
      </c>
    </row>
    <row r="10" customFormat="false" ht="23.85" hidden="false" customHeight="false" outlineLevel="0" collapsed="false">
      <c r="A10" s="16" t="s">
        <v>309</v>
      </c>
      <c r="B10" s="16" t="s">
        <v>310</v>
      </c>
      <c r="C10" s="16" t="s">
        <v>311</v>
      </c>
      <c r="D10" s="16" t="s">
        <v>290</v>
      </c>
      <c r="E10" s="16" t="s">
        <v>312</v>
      </c>
    </row>
    <row r="11" customFormat="false" ht="15" hidden="false" customHeight="false" outlineLevel="0" collapsed="false">
      <c r="A11" s="16" t="s">
        <v>313</v>
      </c>
      <c r="B11" s="16" t="s">
        <v>314</v>
      </c>
      <c r="C11" s="16" t="s">
        <v>315</v>
      </c>
      <c r="D11" s="16" t="s">
        <v>290</v>
      </c>
      <c r="E11" s="16" t="s">
        <v>316</v>
      </c>
    </row>
    <row r="12" customFormat="false" ht="23.85" hidden="false" customHeight="false" outlineLevel="0" collapsed="false">
      <c r="A12" s="16" t="s">
        <v>317</v>
      </c>
      <c r="B12" s="16" t="s">
        <v>318</v>
      </c>
      <c r="C12" s="16" t="s">
        <v>319</v>
      </c>
      <c r="D12" s="16" t="s">
        <v>295</v>
      </c>
      <c r="E12" s="16" t="s">
        <v>320</v>
      </c>
    </row>
    <row r="13" customFormat="false" ht="23.85" hidden="false" customHeight="false" outlineLevel="0" collapsed="false">
      <c r="A13" s="16" t="s">
        <v>321</v>
      </c>
      <c r="B13" s="16" t="s">
        <v>322</v>
      </c>
      <c r="C13" s="16" t="s">
        <v>323</v>
      </c>
      <c r="D13" s="16" t="s">
        <v>324</v>
      </c>
      <c r="E13" s="16" t="s">
        <v>325</v>
      </c>
    </row>
    <row r="14" customFormat="false" ht="23.85" hidden="false" customHeight="false" outlineLevel="0" collapsed="false">
      <c r="A14" s="16" t="s">
        <v>326</v>
      </c>
      <c r="B14" s="16" t="s">
        <v>327</v>
      </c>
      <c r="C14" s="16" t="s">
        <v>328</v>
      </c>
      <c r="D14" s="16" t="s">
        <v>324</v>
      </c>
      <c r="E14" s="16" t="s">
        <v>329</v>
      </c>
    </row>
    <row r="15" customFormat="false" ht="23.85" hidden="false" customHeight="false" outlineLevel="0" collapsed="false">
      <c r="A15" s="16" t="s">
        <v>330</v>
      </c>
      <c r="B15" s="16" t="s">
        <v>331</v>
      </c>
      <c r="C15" s="16" t="s">
        <v>332</v>
      </c>
      <c r="D15" s="16" t="s">
        <v>324</v>
      </c>
      <c r="E15" s="16" t="s">
        <v>333</v>
      </c>
    </row>
    <row r="16" customFormat="false" ht="15" hidden="false" customHeight="false" outlineLevel="0" collapsed="false">
      <c r="A16" s="16" t="s">
        <v>334</v>
      </c>
      <c r="B16" s="16" t="s">
        <v>335</v>
      </c>
      <c r="C16" s="16" t="s">
        <v>336</v>
      </c>
      <c r="D16" s="16" t="s">
        <v>324</v>
      </c>
      <c r="E16" s="16" t="s">
        <v>337</v>
      </c>
    </row>
    <row r="17" customFormat="false" ht="23.85" hidden="false" customHeight="false" outlineLevel="0" collapsed="false">
      <c r="A17" s="16" t="s">
        <v>338</v>
      </c>
      <c r="B17" s="16" t="s">
        <v>339</v>
      </c>
      <c r="C17" s="16" t="s">
        <v>340</v>
      </c>
      <c r="D17" s="16" t="s">
        <v>324</v>
      </c>
      <c r="E17" s="16" t="s">
        <v>341</v>
      </c>
    </row>
    <row r="18" customFormat="false" ht="15" hidden="false" customHeight="false" outlineLevel="0" collapsed="false">
      <c r="A18" s="16" t="s">
        <v>342</v>
      </c>
      <c r="B18" s="16" t="s">
        <v>343</v>
      </c>
      <c r="C18" s="16" t="s">
        <v>344</v>
      </c>
      <c r="D18" s="16" t="s">
        <v>295</v>
      </c>
      <c r="E18" s="16" t="s">
        <v>345</v>
      </c>
    </row>
    <row r="19" customFormat="false" ht="23.85" hidden="false" customHeight="false" outlineLevel="0" collapsed="false">
      <c r="A19" s="16" t="s">
        <v>346</v>
      </c>
      <c r="B19" s="16" t="s">
        <v>347</v>
      </c>
      <c r="C19" s="16" t="s">
        <v>348</v>
      </c>
      <c r="D19" s="16" t="s">
        <v>290</v>
      </c>
      <c r="E19" s="16" t="s">
        <v>349</v>
      </c>
    </row>
    <row r="20" customFormat="false" ht="15" hidden="false" customHeight="false" outlineLevel="0" collapsed="false">
      <c r="A20" s="16" t="s">
        <v>350</v>
      </c>
      <c r="B20" s="16" t="s">
        <v>351</v>
      </c>
      <c r="C20" s="16" t="s">
        <v>352</v>
      </c>
      <c r="D20" s="16" t="s">
        <v>324</v>
      </c>
      <c r="E20" s="16" t="s">
        <v>353</v>
      </c>
    </row>
    <row r="21" customFormat="false" ht="15" hidden="false" customHeight="false" outlineLevel="0" collapsed="false">
      <c r="A21" s="16" t="s">
        <v>354</v>
      </c>
      <c r="B21" s="16" t="s">
        <v>355</v>
      </c>
      <c r="C21" s="16" t="s">
        <v>356</v>
      </c>
      <c r="D21" s="16" t="s">
        <v>290</v>
      </c>
      <c r="E21" s="16" t="s">
        <v>357</v>
      </c>
    </row>
    <row r="22" customFormat="false" ht="23.85" hidden="false" customHeight="false" outlineLevel="0" collapsed="false">
      <c r="A22" s="16" t="s">
        <v>358</v>
      </c>
      <c r="B22" s="16" t="s">
        <v>359</v>
      </c>
      <c r="C22" s="16" t="s">
        <v>360</v>
      </c>
      <c r="D22" s="16" t="s">
        <v>295</v>
      </c>
      <c r="E22" s="16" t="s">
        <v>361</v>
      </c>
    </row>
    <row r="23" customFormat="false" ht="23.85" hidden="false" customHeight="false" outlineLevel="0" collapsed="false">
      <c r="A23" s="16" t="s">
        <v>362</v>
      </c>
      <c r="B23" s="16" t="s">
        <v>363</v>
      </c>
      <c r="C23" s="16" t="s">
        <v>364</v>
      </c>
      <c r="D23" s="16" t="s">
        <v>324</v>
      </c>
      <c r="E23" s="16" t="s">
        <v>365</v>
      </c>
    </row>
    <row r="24" customFormat="false" ht="23.85" hidden="false" customHeight="false" outlineLevel="0" collapsed="false">
      <c r="A24" s="16" t="s">
        <v>366</v>
      </c>
      <c r="B24" s="16" t="s">
        <v>367</v>
      </c>
      <c r="C24" s="16" t="s">
        <v>368</v>
      </c>
      <c r="D24" s="16" t="s">
        <v>295</v>
      </c>
      <c r="E24" s="16" t="s">
        <v>369</v>
      </c>
    </row>
    <row r="25" customFormat="false" ht="23.85" hidden="false" customHeight="false" outlineLevel="0" collapsed="false">
      <c r="A25" s="16" t="s">
        <v>370</v>
      </c>
      <c r="B25" s="16" t="s">
        <v>371</v>
      </c>
      <c r="C25" s="16" t="s">
        <v>372</v>
      </c>
      <c r="D25" s="16" t="s">
        <v>290</v>
      </c>
      <c r="E25" s="16" t="s">
        <v>373</v>
      </c>
    </row>
    <row r="26" customFormat="false" ht="35.05" hidden="false" customHeight="false" outlineLevel="0" collapsed="false">
      <c r="A26" s="16" t="s">
        <v>374</v>
      </c>
      <c r="B26" s="16" t="s">
        <v>375</v>
      </c>
      <c r="C26" s="16" t="s">
        <v>376</v>
      </c>
      <c r="D26" s="16" t="s">
        <v>295</v>
      </c>
      <c r="E26" s="16" t="s">
        <v>377</v>
      </c>
    </row>
    <row r="27" customFormat="false" ht="35.05" hidden="false" customHeight="false" outlineLevel="0" collapsed="false">
      <c r="A27" s="16" t="s">
        <v>378</v>
      </c>
      <c r="B27" s="16" t="s">
        <v>379</v>
      </c>
      <c r="C27" s="16" t="s">
        <v>380</v>
      </c>
      <c r="D27" s="16" t="s">
        <v>295</v>
      </c>
      <c r="E27" s="16" t="s">
        <v>381</v>
      </c>
    </row>
    <row r="28" customFormat="false" ht="23.85" hidden="false" customHeight="false" outlineLevel="0" collapsed="false">
      <c r="A28" s="16" t="s">
        <v>382</v>
      </c>
      <c r="B28" s="16" t="s">
        <v>383</v>
      </c>
      <c r="C28" s="16" t="s">
        <v>384</v>
      </c>
      <c r="D28" s="16" t="s">
        <v>295</v>
      </c>
      <c r="E28" s="16" t="s">
        <v>385</v>
      </c>
    </row>
    <row r="29" customFormat="false" ht="23.85" hidden="false" customHeight="false" outlineLevel="0" collapsed="false">
      <c r="A29" s="16" t="s">
        <v>386</v>
      </c>
      <c r="B29" s="16" t="s">
        <v>387</v>
      </c>
      <c r="C29" s="16" t="s">
        <v>388</v>
      </c>
      <c r="D29" s="16" t="s">
        <v>295</v>
      </c>
      <c r="E29" s="16" t="s">
        <v>389</v>
      </c>
    </row>
    <row r="30" customFormat="false" ht="23.85" hidden="false" customHeight="false" outlineLevel="0" collapsed="false">
      <c r="A30" s="16" t="s">
        <v>390</v>
      </c>
      <c r="B30" s="16" t="s">
        <v>391</v>
      </c>
      <c r="C30" s="16" t="s">
        <v>392</v>
      </c>
      <c r="D30" s="16" t="s">
        <v>295</v>
      </c>
      <c r="E30" s="16" t="s">
        <v>393</v>
      </c>
    </row>
    <row r="31" customFormat="false" ht="23.85" hidden="false" customHeight="false" outlineLevel="0" collapsed="false">
      <c r="A31" s="16" t="s">
        <v>394</v>
      </c>
      <c r="B31" s="16" t="s">
        <v>395</v>
      </c>
      <c r="C31" s="16" t="s">
        <v>396</v>
      </c>
      <c r="D31" s="16" t="s">
        <v>324</v>
      </c>
      <c r="E31" s="16" t="s">
        <v>397</v>
      </c>
    </row>
    <row r="32" customFormat="false" ht="23.85" hidden="false" customHeight="false" outlineLevel="0" collapsed="false">
      <c r="A32" s="16" t="s">
        <v>398</v>
      </c>
      <c r="B32" s="16" t="s">
        <v>399</v>
      </c>
      <c r="C32" s="16" t="s">
        <v>400</v>
      </c>
      <c r="D32" s="16" t="s">
        <v>324</v>
      </c>
      <c r="E32" s="16" t="s">
        <v>401</v>
      </c>
    </row>
    <row r="33" customFormat="false" ht="15" hidden="false" customHeight="false" outlineLevel="0" collapsed="false">
      <c r="A33" s="16" t="s">
        <v>402</v>
      </c>
      <c r="B33" s="16" t="s">
        <v>403</v>
      </c>
      <c r="C33" s="16" t="s">
        <v>404</v>
      </c>
      <c r="D33" s="16" t="s">
        <v>324</v>
      </c>
      <c r="E33" s="16" t="s">
        <v>405</v>
      </c>
    </row>
    <row r="34" customFormat="false" ht="15" hidden="false" customHeight="false" outlineLevel="0" collapsed="false">
      <c r="A34" s="16" t="s">
        <v>406</v>
      </c>
      <c r="B34" s="16" t="s">
        <v>407</v>
      </c>
      <c r="C34" s="16" t="s">
        <v>408</v>
      </c>
      <c r="D34" s="16" t="s">
        <v>295</v>
      </c>
      <c r="E34" s="16" t="s">
        <v>409</v>
      </c>
    </row>
    <row r="35" customFormat="false" ht="15" hidden="false" customHeight="false" outlineLevel="0" collapsed="false">
      <c r="A35" s="16" t="s">
        <v>410</v>
      </c>
      <c r="B35" s="16" t="s">
        <v>411</v>
      </c>
      <c r="C35" s="16" t="s">
        <v>412</v>
      </c>
      <c r="D35" s="16" t="s">
        <v>324</v>
      </c>
      <c r="E35" s="16" t="s">
        <v>413</v>
      </c>
    </row>
    <row r="36" customFormat="false" ht="15" hidden="false" customHeight="false" outlineLevel="0" collapsed="false">
      <c r="A36" s="16" t="s">
        <v>414</v>
      </c>
      <c r="B36" s="16" t="s">
        <v>415</v>
      </c>
      <c r="C36" s="16" t="s">
        <v>416</v>
      </c>
      <c r="D36" s="16" t="s">
        <v>295</v>
      </c>
      <c r="E36" s="16" t="s">
        <v>417</v>
      </c>
    </row>
    <row r="37" customFormat="false" ht="23.85" hidden="false" customHeight="false" outlineLevel="0" collapsed="false">
      <c r="A37" s="16" t="s">
        <v>418</v>
      </c>
      <c r="B37" s="16" t="s">
        <v>419</v>
      </c>
      <c r="C37" s="16" t="s">
        <v>420</v>
      </c>
      <c r="D37" s="16" t="s">
        <v>295</v>
      </c>
      <c r="E37" s="16" t="s">
        <v>421</v>
      </c>
    </row>
    <row r="38" customFormat="false" ht="23.85" hidden="false" customHeight="false" outlineLevel="0" collapsed="false">
      <c r="A38" s="16" t="s">
        <v>422</v>
      </c>
      <c r="B38" s="16" t="s">
        <v>423</v>
      </c>
      <c r="C38" s="16" t="s">
        <v>424</v>
      </c>
      <c r="D38" s="16" t="s">
        <v>295</v>
      </c>
      <c r="E38" s="16" t="s">
        <v>425</v>
      </c>
    </row>
    <row r="39" customFormat="false" ht="23.85" hidden="false" customHeight="false" outlineLevel="0" collapsed="false">
      <c r="A39" s="16" t="s">
        <v>426</v>
      </c>
      <c r="B39" s="16" t="s">
        <v>427</v>
      </c>
      <c r="C39" s="16" t="s">
        <v>428</v>
      </c>
      <c r="D39" s="16" t="s">
        <v>295</v>
      </c>
      <c r="E39" s="16" t="s">
        <v>429</v>
      </c>
    </row>
    <row r="40" customFormat="false" ht="15" hidden="false" customHeight="false" outlineLevel="0" collapsed="false">
      <c r="A40" s="16" t="s">
        <v>430</v>
      </c>
      <c r="B40" s="16" t="s">
        <v>431</v>
      </c>
      <c r="C40" s="16" t="s">
        <v>432</v>
      </c>
      <c r="D40" s="16" t="s">
        <v>295</v>
      </c>
      <c r="E40" s="16" t="s">
        <v>433</v>
      </c>
    </row>
    <row r="41" customFormat="false" ht="23.85" hidden="false" customHeight="false" outlineLevel="0" collapsed="false">
      <c r="A41" s="16" t="s">
        <v>434</v>
      </c>
      <c r="B41" s="16" t="s">
        <v>435</v>
      </c>
      <c r="C41" s="16" t="s">
        <v>436</v>
      </c>
      <c r="D41" s="16" t="s">
        <v>324</v>
      </c>
      <c r="E41" s="16" t="s">
        <v>437</v>
      </c>
    </row>
    <row r="43" customFormat="false" ht="15" hidden="false" customHeight="false" outlineLevel="0" collapsed="false">
      <c r="A43" s="3" t="s">
        <v>438</v>
      </c>
    </row>
    <row r="44" customFormat="false" ht="30" hidden="false" customHeight="true" outlineLevel="0" collapsed="false">
      <c r="B44" s="15" t="s">
        <v>439</v>
      </c>
      <c r="C44" s="15"/>
      <c r="D44" s="15"/>
      <c r="E44" s="15"/>
    </row>
    <row r="45" customFormat="false" ht="30" hidden="false" customHeight="true" outlineLevel="0" collapsed="false">
      <c r="B45" s="15" t="s">
        <v>440</v>
      </c>
      <c r="C45" s="15"/>
      <c r="D45" s="15"/>
      <c r="E45" s="15"/>
    </row>
    <row r="46" customFormat="false" ht="30" hidden="false" customHeight="true" outlineLevel="0" collapsed="false">
      <c r="B46" s="15" t="s">
        <v>441</v>
      </c>
      <c r="C46" s="15"/>
      <c r="D46" s="15"/>
      <c r="E46" s="15"/>
    </row>
    <row r="47" customFormat="false" ht="30" hidden="false" customHeight="true" outlineLevel="0" collapsed="false">
      <c r="B47" s="15" t="s">
        <v>442</v>
      </c>
      <c r="C47" s="15"/>
      <c r="D47" s="15"/>
      <c r="E47" s="15"/>
    </row>
  </sheetData>
  <mergeCells count="4">
    <mergeCell ref="B44:E44"/>
    <mergeCell ref="B45:E45"/>
    <mergeCell ref="B46:E46"/>
    <mergeCell ref="B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2026-10-07T18:25:12Z</dcterms:created>
  <dc:creator>openpyxl</dc:creator>
  <dc:description/>
  <dc:language>en-US</dc:language>
  <cp:lastModifiedBy/>
  <dcterms:modified xsi:type="dcterms:W3CDTF">2026-10-07T13:25:15Z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